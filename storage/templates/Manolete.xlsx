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extraccion" sheetId="1" state="visible" r:id="rId1"/>
  </sheets>
  <definedNames>
    <definedName name="_xlnm._FilterDatabase" localSheetId="0" hidden="1">'extraccion'!$A$6:$F$6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color rgb="FF000000"/>
      <sz val="11"/>
      <scheme val="minor"/>
    </font>
    <font>
      <name val="Calibri"/>
      <color rgb="FF000000"/>
      <sz val="11"/>
    </font>
    <font>
      <name val="Calibri"/>
      <b val="1"/>
      <color rgb="FF333399"/>
      <sz val="18"/>
    </font>
    <font>
      <name val="Calibri"/>
      <b val="1"/>
      <color rgb="FFFFFFFF"/>
      <sz val="11"/>
    </font>
    <font>
      <name val="Calibri"/>
      <color theme="1"/>
      <sz val="11"/>
    </font>
    <font>
      <name val="Calibri"/>
      <color theme="1"/>
      <sz val="11"/>
    </font>
    <font>
      <name val="Calibri"/>
      <color theme="1"/>
      <sz val="11"/>
      <scheme val="minor"/>
    </font>
    <font>
      <name val="Calibri"/>
      <color theme="1"/>
      <sz val="7"/>
    </font>
    <font>
      <name val="Arial Black"/>
      <b val="1"/>
      <color theme="1"/>
      <sz val="11"/>
    </font>
    <font>
      <name val="Arial Black"/>
      <b val="1"/>
      <color theme="1"/>
      <sz val="7"/>
    </font>
    <font>
      <name val="Arial Black"/>
      <b val="1"/>
      <color theme="1"/>
      <sz val="8"/>
    </font>
    <font>
      <name val="Calibri"/>
      <sz val="11"/>
    </font>
    <font>
      <name val="Calibri"/>
      <b val="1"/>
      <color theme="1"/>
      <sz val="11"/>
    </font>
    <font>
      <name val="Calibri"/>
      <family val="2"/>
      <color rgb="FF000000"/>
      <sz val="11"/>
    </font>
    <font>
      <name val="Calibri"/>
      <family val="2"/>
      <b val="1"/>
      <color theme="1"/>
      <sz val="16"/>
      <scheme val="minor"/>
    </font>
  </fonts>
  <fills count="9">
    <fill>
      <patternFill/>
    </fill>
    <fill>
      <patternFill patternType="gray125"/>
    </fill>
    <fill>
      <patternFill patternType="solid">
        <fgColor rgb="FF002855"/>
        <bgColor rgb="FF002855"/>
      </patternFill>
    </fill>
    <fill>
      <patternFill patternType="solid">
        <fgColor rgb="FFB7B7B7"/>
        <bgColor rgb="FFB7B7B7"/>
      </patternFill>
    </fill>
    <fill>
      <patternFill patternType="solid">
        <fgColor rgb="FFD9EAD3"/>
        <bgColor rgb="FFD9EAD3"/>
      </patternFill>
    </fill>
    <fill>
      <patternFill patternType="solid">
        <fgColor rgb="FF6AA84F"/>
        <bgColor rgb="FF6AA84F"/>
      </patternFill>
    </fill>
    <fill>
      <patternFill patternType="solid">
        <fgColor rgb="FFFF9900"/>
        <bgColor rgb="FFFF9900"/>
      </patternFill>
    </fill>
    <fill>
      <patternFill patternType="solid">
        <fgColor rgb="FFD0E0E3"/>
        <bgColor rgb="FFD0E0E3"/>
      </patternFill>
    </fill>
    <fill>
      <patternFill patternType="solid">
        <fgColor rgb="FFFFC000"/>
        <bgColor rgb="FFFFE599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3"/>
  </cellStyleXfs>
  <cellXfs count="38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4" fillId="4" borderId="0" applyAlignment="1" pivotButton="0" quotePrefix="0" xfId="0">
      <alignment horizontal="center" vertical="center"/>
    </xf>
    <xf numFmtId="0" fontId="8" fillId="5" borderId="5" applyAlignment="1" pivotButton="0" quotePrefix="0" xfId="0">
      <alignment horizontal="center" vertical="center"/>
    </xf>
    <xf numFmtId="0" fontId="8" fillId="6" borderId="5" applyAlignment="1" pivotButton="0" quotePrefix="0" xfId="0">
      <alignment horizontal="center" vertical="center"/>
    </xf>
    <xf numFmtId="0" fontId="8" fillId="5" borderId="4" applyAlignment="1" pivotButton="0" quotePrefix="0" xfId="0">
      <alignment horizontal="center" vertical="center"/>
    </xf>
    <xf numFmtId="0" fontId="8" fillId="5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" fontId="1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3" fillId="3" borderId="3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4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2" fontId="12" fillId="7" borderId="4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4" fontId="4" fillId="0" borderId="4" applyAlignment="1" pivotButton="0" quotePrefix="0" xfId="0">
      <alignment horizontal="center" vertical="center"/>
    </xf>
    <xf numFmtId="2" fontId="4" fillId="0" borderId="0" applyAlignment="1" pivotButton="0" quotePrefix="0" xfId="0">
      <alignment horizontal="center" vertical="center"/>
    </xf>
    <xf numFmtId="4" fontId="1" fillId="8" borderId="0" applyAlignment="1" pivotButton="0" quotePrefix="0" xfId="0">
      <alignment horizontal="center" vertical="center"/>
    </xf>
    <xf numFmtId="0" fontId="9" fillId="5" borderId="7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/>
    </xf>
    <xf numFmtId="0" fontId="10" fillId="5" borderId="7" applyAlignment="1" pivotButton="0" quotePrefix="0" xfId="0">
      <alignment horizontal="center" vertical="center"/>
    </xf>
    <xf numFmtId="2" fontId="8" fillId="5" borderId="10" applyAlignment="1" pivotButton="0" quotePrefix="0" xfId="0">
      <alignment horizontal="center" vertical="center"/>
    </xf>
    <xf numFmtId="2" fontId="8" fillId="5" borderId="9" applyAlignment="1" pivotButton="0" quotePrefix="0" xfId="0">
      <alignment horizontal="center" vertical="center"/>
    </xf>
    <xf numFmtId="0" fontId="9" fillId="5" borderId="5" applyAlignment="1" pivotButton="0" quotePrefix="0" xfId="0">
      <alignment horizontal="center" vertical="center"/>
    </xf>
    <xf numFmtId="0" fontId="10" fillId="5" borderId="5" applyAlignment="1" pivotButton="0" quotePrefix="0" xfId="0">
      <alignment horizontal="center" vertical="center"/>
    </xf>
    <xf numFmtId="2" fontId="8" fillId="5" borderId="4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49" fontId="4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129540</colOff>
      <row>0</row>
      <rowOff>0</rowOff>
    </from>
    <ext cx="510540" cy="541020"/>
    <pic>
      <nvPicPr>
        <cNvPr id="4" name="image1.png"/>
        <cNvPicPr preferRelativeResize="0"/>
      </nvPicPr>
      <blipFill>
        <a:blip cstate="print" r:embed="rId1"/>
        <a:stretch>
          <a:fillRect/>
        </a:stretch>
      </blipFill>
      <spPr>
        <a:xfrm>
          <a:off x="129540" y="0"/>
          <a:ext cx="510540" cy="54102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N114"/>
  <sheetViews>
    <sheetView tabSelected="1" topLeftCell="A64" zoomScale="70" zoomScaleNormal="70" workbookViewId="0">
      <selection activeCell="E80" sqref="E80"/>
    </sheetView>
  </sheetViews>
  <sheetFormatPr baseColWidth="10" defaultColWidth="14.44140625" defaultRowHeight="25.05" customHeight="1"/>
  <cols>
    <col width="10.77734375" customWidth="1" style="7" min="1" max="1"/>
    <col width="60.77734375" customWidth="1" style="7" min="2" max="2"/>
    <col width="15.77734375" customWidth="1" style="7" min="3" max="6"/>
    <col width="5.77734375" customWidth="1" style="7" min="7" max="37"/>
    <col width="25.77734375" customWidth="1" style="7" min="38" max="38"/>
    <col width="40.77734375" customWidth="1" style="7" min="39" max="39"/>
    <col width="15.77734375" customWidth="1" style="7" min="40" max="40"/>
    <col width="14.44140625" customWidth="1" style="7" min="41" max="16384"/>
  </cols>
  <sheetData>
    <row r="1" ht="25.05" customFormat="1" customHeight="1" s="1">
      <c r="A1" s="7" t="n"/>
      <c r="C1" s="7" t="n"/>
      <c r="D1" s="7" t="n"/>
      <c r="E1" s="8" t="n"/>
      <c r="F1" s="8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 ht="25.05" customFormat="1" customHeight="1" s="1">
      <c r="A2" s="7" t="n"/>
      <c r="C2" s="7" t="n"/>
      <c r="D2" s="7" t="n"/>
      <c r="E2" s="8" t="n"/>
      <c r="F2" s="8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</row>
    <row r="3" ht="25.05" customFormat="1" customHeight="1" s="1">
      <c r="A3" s="7" t="n"/>
      <c r="C3" s="7" t="n"/>
      <c r="D3" s="7" t="n"/>
      <c r="E3" s="8" t="n"/>
      <c r="F3" s="8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</row>
    <row r="4" ht="25.05" customHeight="1">
      <c r="B4" s="2" t="inlineStr">
        <is>
          <t>MANOLETE</t>
        </is>
      </c>
      <c r="E4" s="8" t="n"/>
      <c r="F4" s="8" t="n"/>
      <c r="H4" s="9" t="n"/>
    </row>
    <row r="5" ht="25.05" customHeight="1">
      <c r="E5" s="8" t="n"/>
      <c r="F5" s="8" t="n"/>
      <c r="G5" s="3" t="inlineStr">
        <is>
          <t>X</t>
        </is>
      </c>
      <c r="H5" s="3" t="inlineStr">
        <is>
          <t>J</t>
        </is>
      </c>
      <c r="I5" s="3" t="inlineStr">
        <is>
          <t>V</t>
        </is>
      </c>
      <c r="J5" s="4" t="inlineStr">
        <is>
          <t>S</t>
        </is>
      </c>
      <c r="K5" s="4" t="inlineStr">
        <is>
          <t>D</t>
        </is>
      </c>
      <c r="L5" s="5" t="inlineStr">
        <is>
          <t>L</t>
        </is>
      </c>
      <c r="M5" s="3" t="inlineStr">
        <is>
          <t>M</t>
        </is>
      </c>
      <c r="N5" s="3" t="inlineStr">
        <is>
          <t>X</t>
        </is>
      </c>
      <c r="O5" s="3" t="inlineStr">
        <is>
          <t>J</t>
        </is>
      </c>
      <c r="P5" s="3" t="inlineStr">
        <is>
          <t>V</t>
        </is>
      </c>
      <c r="Q5" s="4" t="inlineStr">
        <is>
          <t>S</t>
        </is>
      </c>
      <c r="R5" s="4" t="inlineStr">
        <is>
          <t>D</t>
        </is>
      </c>
      <c r="S5" s="5" t="inlineStr">
        <is>
          <t>L</t>
        </is>
      </c>
      <c r="T5" s="3" t="inlineStr">
        <is>
          <t>M</t>
        </is>
      </c>
      <c r="U5" s="3" t="inlineStr">
        <is>
          <t>X</t>
        </is>
      </c>
      <c r="V5" s="3" t="inlineStr">
        <is>
          <t>J</t>
        </is>
      </c>
      <c r="W5" s="3" t="inlineStr">
        <is>
          <t>V</t>
        </is>
      </c>
      <c r="X5" s="4" t="inlineStr">
        <is>
          <t>S</t>
        </is>
      </c>
      <c r="Y5" s="4" t="inlineStr">
        <is>
          <t>D</t>
        </is>
      </c>
      <c r="Z5" s="5" t="inlineStr">
        <is>
          <t>L</t>
        </is>
      </c>
      <c r="AA5" s="3" t="inlineStr">
        <is>
          <t>M</t>
        </is>
      </c>
      <c r="AB5" s="3" t="inlineStr">
        <is>
          <t>X</t>
        </is>
      </c>
      <c r="AC5" s="3" t="inlineStr">
        <is>
          <t>J</t>
        </is>
      </c>
      <c r="AD5" s="3" t="inlineStr">
        <is>
          <t>V</t>
        </is>
      </c>
      <c r="AE5" s="4" t="inlineStr">
        <is>
          <t>S</t>
        </is>
      </c>
      <c r="AF5" s="4" t="inlineStr">
        <is>
          <t>D</t>
        </is>
      </c>
      <c r="AG5" s="5" t="inlineStr">
        <is>
          <t>L</t>
        </is>
      </c>
      <c r="AH5" s="3" t="inlineStr">
        <is>
          <t>M</t>
        </is>
      </c>
      <c r="AI5" s="3" t="inlineStr">
        <is>
          <t>X</t>
        </is>
      </c>
      <c r="AJ5" s="3" t="inlineStr">
        <is>
          <t>J</t>
        </is>
      </c>
      <c r="AK5" s="6" t="inlineStr">
        <is>
          <t>V</t>
        </is>
      </c>
      <c r="AL5" s="31" t="inlineStr">
        <is>
          <t>EXTRACION
  MENSUAL</t>
        </is>
      </c>
      <c r="AM5" s="32" t="inlineStr">
        <is>
          <t xml:space="preserve">suma  stok inicial
+  estracion mensual   </t>
        </is>
      </c>
      <c r="AN5" s="33" t="inlineStr">
        <is>
          <t>VALOR</t>
        </is>
      </c>
    </row>
    <row r="6" ht="25.05" customHeight="1">
      <c r="A6" s="10" t="inlineStr">
        <is>
          <t>Cód.Art.</t>
        </is>
      </c>
      <c r="B6" s="10" t="inlineStr">
        <is>
          <t>Artículo</t>
        </is>
      </c>
      <c r="C6" s="11" t="inlineStr">
        <is>
          <t>Cnt.Stk.</t>
        </is>
      </c>
      <c r="D6" s="12" t="inlineStr">
        <is>
          <t>Frm.Stk.</t>
        </is>
      </c>
      <c r="E6" s="13" t="inlineStr">
        <is>
          <t>Prc.Med.EUR</t>
        </is>
      </c>
      <c r="F6" s="13" t="inlineStr">
        <is>
          <t>Total EUR</t>
        </is>
      </c>
      <c r="G6" s="3" t="n">
        <v>1</v>
      </c>
      <c r="H6" s="3" t="n">
        <v>2</v>
      </c>
      <c r="I6" s="3" t="n">
        <v>3</v>
      </c>
      <c r="J6" s="4" t="n">
        <v>4</v>
      </c>
      <c r="K6" s="4" t="n">
        <v>5</v>
      </c>
      <c r="L6" s="3" t="n">
        <v>6</v>
      </c>
      <c r="M6" s="3" t="n">
        <v>7</v>
      </c>
      <c r="N6" s="3" t="n">
        <v>8</v>
      </c>
      <c r="O6" s="3" t="n">
        <v>9</v>
      </c>
      <c r="P6" s="3" t="n">
        <v>10</v>
      </c>
      <c r="Q6" s="4" t="n">
        <v>11</v>
      </c>
      <c r="R6" s="4" t="n">
        <v>12</v>
      </c>
      <c r="S6" s="3" t="n">
        <v>13</v>
      </c>
      <c r="T6" s="3" t="n">
        <v>14</v>
      </c>
      <c r="U6" s="3" t="n">
        <v>15</v>
      </c>
      <c r="V6" s="3" t="n">
        <v>16</v>
      </c>
      <c r="W6" s="3" t="n">
        <v>17</v>
      </c>
      <c r="X6" s="4" t="n">
        <v>18</v>
      </c>
      <c r="Y6" s="4" t="n">
        <v>19</v>
      </c>
      <c r="Z6" s="3" t="n">
        <v>20</v>
      </c>
      <c r="AA6" s="3" t="n">
        <v>21</v>
      </c>
      <c r="AB6" s="3" t="n">
        <v>22</v>
      </c>
      <c r="AC6" s="3" t="n">
        <v>23</v>
      </c>
      <c r="AD6" s="3" t="n">
        <v>24</v>
      </c>
      <c r="AE6" s="4" t="n">
        <v>25</v>
      </c>
      <c r="AF6" s="4" t="n">
        <v>26</v>
      </c>
      <c r="AG6" s="3" t="n">
        <v>27</v>
      </c>
      <c r="AH6" s="3" t="n">
        <v>28</v>
      </c>
      <c r="AI6" s="3" t="n">
        <v>29</v>
      </c>
      <c r="AJ6" s="3" t="n">
        <v>30</v>
      </c>
      <c r="AK6" s="6" t="n">
        <v>31</v>
      </c>
      <c r="AL6" s="34" t="n"/>
      <c r="AM6" s="34" t="n"/>
      <c r="AN6" s="35" t="n"/>
    </row>
    <row r="7" ht="25.05" customHeight="1">
      <c r="A7" s="14" t="n">
        <v>22779</v>
      </c>
      <c r="B7" s="14" t="inlineStr">
        <is>
          <t>HEL NESTLE ALMENDRADO C/VAINILLA 20 UD</t>
        </is>
      </c>
      <c r="C7" s="15" t="n">
        <v>0</v>
      </c>
      <c r="D7" s="16" t="inlineStr">
        <is>
          <t>UNIDAD</t>
        </is>
      </c>
      <c r="E7" s="17" t="n">
        <v>1.49427</v>
      </c>
      <c r="F7" s="25">
        <f>C7*E7</f>
        <v/>
      </c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  <c r="AA7" s="18" t="n"/>
      <c r="AB7" s="18" t="n"/>
      <c r="AC7" s="18" t="n"/>
      <c r="AD7" s="18" t="n"/>
      <c r="AE7" s="18" t="n"/>
      <c r="AF7" s="18" t="n"/>
      <c r="AG7" s="18" t="n"/>
      <c r="AH7" s="18" t="n"/>
      <c r="AI7" s="18" t="n"/>
      <c r="AJ7" s="18" t="n"/>
      <c r="AK7" s="18" t="n"/>
      <c r="AL7" s="19">
        <f>SUM(G7:AK7)</f>
        <v/>
      </c>
      <c r="AM7" s="20">
        <f>SUM(C7,AL7)</f>
        <v/>
      </c>
      <c r="AN7" s="21">
        <f>E7*AM7</f>
        <v/>
      </c>
    </row>
    <row r="8" ht="25.05" customHeight="1">
      <c r="A8" s="14" t="n">
        <v>24964</v>
      </c>
      <c r="B8" s="14" t="inlineStr">
        <is>
          <t>HEL NESTLE CARAMELO/MACADAMIA 20 UDS</t>
        </is>
      </c>
      <c r="C8" s="15" t="n">
        <v>0</v>
      </c>
      <c r="D8" s="16" t="inlineStr">
        <is>
          <t>UNIDAD</t>
        </is>
      </c>
      <c r="E8" s="17" t="n">
        <v>1.49427</v>
      </c>
      <c r="F8" s="25">
        <f>C8*E8</f>
        <v/>
      </c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  <c r="AA8" s="18" t="n"/>
      <c r="AB8" s="18" t="n"/>
      <c r="AC8" s="18" t="n"/>
      <c r="AD8" s="18" t="n"/>
      <c r="AE8" s="18" t="n"/>
      <c r="AF8" s="18" t="n"/>
      <c r="AG8" s="18" t="n"/>
      <c r="AH8" s="18" t="n"/>
      <c r="AI8" s="18" t="n"/>
      <c r="AJ8" s="18" t="n"/>
      <c r="AK8" s="18" t="n"/>
      <c r="AL8" s="19">
        <f>SUM(G8:AK8)</f>
        <v/>
      </c>
      <c r="AM8" s="20">
        <f>SUM(C8,AL8)</f>
        <v/>
      </c>
      <c r="AN8" s="21">
        <f>E8*AM8</f>
        <v/>
      </c>
    </row>
    <row r="9" ht="25.05" customHeight="1">
      <c r="A9" s="14" t="n">
        <v>28126</v>
      </c>
      <c r="B9" s="14" t="inlineStr">
        <is>
          <t>HEL NESTLE CONO EXTREME CARAMELO SALADO</t>
        </is>
      </c>
      <c r="C9" s="15" t="n">
        <v>0</v>
      </c>
      <c r="D9" s="16" t="inlineStr">
        <is>
          <t>UNIDAD</t>
        </is>
      </c>
      <c r="E9" s="17" t="n">
        <v>1.3943</v>
      </c>
      <c r="F9" s="25">
        <f>C9*E9</f>
        <v/>
      </c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9">
        <f>SUM(G9:AK9)</f>
        <v/>
      </c>
      <c r="AM9" s="20">
        <f>SUM(C9,AL9)</f>
        <v/>
      </c>
      <c r="AN9" s="21">
        <f>E9*AM9</f>
        <v/>
      </c>
    </row>
    <row r="10" ht="25.05" customHeight="1">
      <c r="A10" s="14" t="n">
        <v>21193</v>
      </c>
      <c r="B10" s="14" t="inlineStr">
        <is>
          <t>HEL NESTLE CONO KIT KAT VAIN-CHOC 16 UDS</t>
        </is>
      </c>
      <c r="C10" s="15" t="n">
        <v>0</v>
      </c>
      <c r="D10" s="16" t="inlineStr">
        <is>
          <t>UNIDAD</t>
        </is>
      </c>
      <c r="E10" s="17" t="n">
        <v>1.52327</v>
      </c>
      <c r="F10" s="25">
        <f>C10*E10</f>
        <v/>
      </c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18" t="n"/>
      <c r="AI10" s="18" t="n"/>
      <c r="AJ10" s="18" t="n"/>
      <c r="AK10" s="18" t="n"/>
      <c r="AL10" s="19">
        <f>SUM(G10:AK10)</f>
        <v/>
      </c>
      <c r="AM10" s="20">
        <f>SUM(C10,AL10)</f>
        <v/>
      </c>
      <c r="AN10" s="21">
        <f>E10*AM10</f>
        <v/>
      </c>
    </row>
    <row r="11" ht="25.05" customHeight="1">
      <c r="A11" s="14" t="n">
        <v>7585</v>
      </c>
      <c r="B11" s="14" t="inlineStr">
        <is>
          <t>HEL NESTLE MAXIBON COOKIES 24 UDS</t>
        </is>
      </c>
      <c r="C11" s="15" t="n">
        <v>0</v>
      </c>
      <c r="D11" s="16" t="inlineStr">
        <is>
          <t>UNIDAD</t>
        </is>
      </c>
      <c r="E11" s="17" t="n">
        <v>1.3768</v>
      </c>
      <c r="F11" s="25">
        <f>C11*E11</f>
        <v/>
      </c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8" t="n"/>
      <c r="AH11" s="18" t="n"/>
      <c r="AI11" s="18" t="n"/>
      <c r="AJ11" s="18" t="n"/>
      <c r="AK11" s="18" t="n"/>
      <c r="AL11" s="19">
        <f>SUM(G11:AK11)</f>
        <v/>
      </c>
      <c r="AM11" s="20">
        <f>SUM(C11,AL11)</f>
        <v/>
      </c>
      <c r="AN11" s="21">
        <f>E11*AM11</f>
        <v/>
      </c>
    </row>
    <row r="12" ht="25.05" customHeight="1">
      <c r="A12" s="14" t="n">
        <v>4779</v>
      </c>
      <c r="B12" s="14" t="inlineStr">
        <is>
          <t>HEL NESTLE MAXIBON NATA 24 UDS</t>
        </is>
      </c>
      <c r="C12" s="15" t="n">
        <v>0</v>
      </c>
      <c r="D12" s="16" t="inlineStr">
        <is>
          <t>UNIDAD</t>
        </is>
      </c>
      <c r="E12" s="17" t="n">
        <v>1.37695</v>
      </c>
      <c r="F12" s="25">
        <f>C12*E12</f>
        <v/>
      </c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9">
        <f>SUM(G12:AK12)</f>
        <v/>
      </c>
      <c r="AM12" s="20">
        <f>SUM(C12,AL12)</f>
        <v/>
      </c>
      <c r="AN12" s="21">
        <f>E12*AM12</f>
        <v/>
      </c>
    </row>
    <row r="13" ht="25.05" customHeight="1">
      <c r="A13" s="14" t="n">
        <v>7588</v>
      </c>
      <c r="B13" s="14" t="inlineStr">
        <is>
          <t>HEL NESTLE PIRULO COOL FRESA 24 UDS</t>
        </is>
      </c>
      <c r="C13" s="15" t="n">
        <v>0</v>
      </c>
      <c r="D13" s="16" t="inlineStr">
        <is>
          <t>UNIDAD</t>
        </is>
      </c>
      <c r="E13" s="17" t="n">
        <v>0.70183</v>
      </c>
      <c r="F13" s="25">
        <f>C13*E13</f>
        <v/>
      </c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  <c r="AL13" s="19">
        <f>SUM(G13:AK13)</f>
        <v/>
      </c>
      <c r="AM13" s="20">
        <f>SUM(C13,AL13)</f>
        <v/>
      </c>
      <c r="AN13" s="21">
        <f>E13*AM13</f>
        <v/>
      </c>
    </row>
    <row r="14" ht="25.05" customHeight="1">
      <c r="A14" s="14" t="n">
        <v>23983</v>
      </c>
      <c r="B14" s="14" t="inlineStr">
        <is>
          <t>HEL NESTLE PIRULO COOL LIMON 24 UD</t>
        </is>
      </c>
      <c r="C14" s="15" t="n">
        <v>0</v>
      </c>
      <c r="D14" s="16" t="inlineStr">
        <is>
          <t>UNIDAD</t>
        </is>
      </c>
      <c r="E14" s="17" t="n">
        <v>0.70183</v>
      </c>
      <c r="F14" s="25">
        <f>C14*E14</f>
        <v/>
      </c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9">
        <f>SUM(G14:AK14)</f>
        <v/>
      </c>
      <c r="AM14" s="20">
        <f>SUM(C14,AL14)</f>
        <v/>
      </c>
      <c r="AN14" s="21">
        <f>E14*AM14</f>
        <v/>
      </c>
    </row>
    <row r="15" ht="25.05" customHeight="1">
      <c r="A15" s="14" t="n">
        <v>23974</v>
      </c>
      <c r="B15" s="14" t="inlineStr">
        <is>
          <t>HEL NESTLE PIRULO MIKOLAPIZ 20 UD</t>
        </is>
      </c>
      <c r="C15" s="15" t="n">
        <v>0</v>
      </c>
      <c r="D15" s="16" t="inlineStr">
        <is>
          <t>UNIDAD</t>
        </is>
      </c>
      <c r="E15" s="17" t="n">
        <v>0.8119</v>
      </c>
      <c r="F15" s="25">
        <f>C15*E15</f>
        <v/>
      </c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9">
        <f>SUM(G15:AK15)</f>
        <v/>
      </c>
      <c r="AM15" s="20">
        <f>SUM(C15,AL15)</f>
        <v/>
      </c>
      <c r="AN15" s="21">
        <f>E15*AM15</f>
        <v/>
      </c>
    </row>
    <row r="16" ht="25.05" customHeight="1">
      <c r="A16" s="14" t="n">
        <v>17150</v>
      </c>
      <c r="B16" s="14" t="inlineStr">
        <is>
          <t>HEL NESTLE PIRULO SANDIA 36 UDS</t>
        </is>
      </c>
      <c r="C16" s="15" t="n">
        <v>0</v>
      </c>
      <c r="D16" s="16" t="inlineStr">
        <is>
          <t>UNIDAD</t>
        </is>
      </c>
      <c r="E16" s="17" t="n">
        <v>0.70631</v>
      </c>
      <c r="F16" s="25">
        <f>C16*E16</f>
        <v/>
      </c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9">
        <f>SUM(G16:AK16)</f>
        <v/>
      </c>
      <c r="AM16" s="20">
        <f>SUM(C16,AL16)</f>
        <v/>
      </c>
      <c r="AN16" s="21">
        <f>E16*AM16</f>
        <v/>
      </c>
    </row>
    <row r="17" ht="25.05" customHeight="1">
      <c r="A17" s="14" t="n">
        <v>19180</v>
      </c>
      <c r="B17" s="14" t="inlineStr">
        <is>
          <t>HEL NESTLE SANDWICH OREO 24 UDS</t>
        </is>
      </c>
      <c r="C17" s="15" t="n">
        <v>0</v>
      </c>
      <c r="D17" s="16" t="inlineStr">
        <is>
          <t>UNIDAD</t>
        </is>
      </c>
      <c r="E17" s="17" t="n">
        <v>1.4451</v>
      </c>
      <c r="F17" s="25">
        <f>C17*E17</f>
        <v/>
      </c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9">
        <f>SUM(G17:AK17)</f>
        <v/>
      </c>
      <c r="AM17" s="20">
        <f>SUM(C17,AL17)</f>
        <v/>
      </c>
      <c r="AN17" s="21">
        <f>E17*AM17</f>
        <v/>
      </c>
    </row>
    <row r="18" ht="25.05" customHeight="1">
      <c r="A18" s="14" t="n">
        <v>13385</v>
      </c>
      <c r="B18" s="14" t="inlineStr">
        <is>
          <t>APERITIVO APEROL 100 CL</t>
        </is>
      </c>
      <c r="C18" s="15" t="n">
        <v>0</v>
      </c>
      <c r="D18" s="16" t="inlineStr">
        <is>
          <t>BOTELLA</t>
        </is>
      </c>
      <c r="E18" s="17" t="n">
        <v>11.03158</v>
      </c>
      <c r="F18" s="25">
        <f>C18*E18</f>
        <v/>
      </c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9">
        <f>SUM(G18:AK18)</f>
        <v/>
      </c>
      <c r="AM18" s="20">
        <f>SUM(C18,AL18)</f>
        <v/>
      </c>
      <c r="AN18" s="21">
        <f>E18*AM18</f>
        <v/>
      </c>
    </row>
    <row r="19" ht="25.05" customHeight="1">
      <c r="A19" s="14" t="n">
        <v>1460</v>
      </c>
      <c r="B19" s="14" t="inlineStr">
        <is>
          <t>APERITIVO CAMPARI 100 CL</t>
        </is>
      </c>
      <c r="C19" s="15" t="n">
        <v>0</v>
      </c>
      <c r="D19" s="16" t="inlineStr">
        <is>
          <t>BOTELLA</t>
        </is>
      </c>
      <c r="E19" s="17" t="n">
        <v>13.999933</v>
      </c>
      <c r="F19" s="25">
        <f>C19*E19</f>
        <v/>
      </c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9">
        <f>SUM(G19:AK19)</f>
        <v/>
      </c>
      <c r="AM19" s="20">
        <f>SUM(C19,AL19)</f>
        <v/>
      </c>
      <c r="AN19" s="21">
        <f>E19*AM19</f>
        <v/>
      </c>
    </row>
    <row r="20" ht="25.05" customHeight="1">
      <c r="A20" s="14" t="n">
        <v>93</v>
      </c>
      <c r="B20" s="14" t="inlineStr">
        <is>
          <t>APERITIVO MARTINI BLANCO DULCE 100 CL</t>
        </is>
      </c>
      <c r="C20" s="15" t="n">
        <v>0</v>
      </c>
      <c r="D20" s="16" t="inlineStr">
        <is>
          <t>BOTELLA</t>
        </is>
      </c>
      <c r="E20" s="17" t="n">
        <v>8.044036</v>
      </c>
      <c r="F20" s="25">
        <f>C20*E20</f>
        <v/>
      </c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9">
        <f>SUM(G20:AK20)</f>
        <v/>
      </c>
      <c r="AM20" s="20">
        <f>SUM(C20,AL20)</f>
        <v/>
      </c>
      <c r="AN20" s="21">
        <f>E20*AM20</f>
        <v/>
      </c>
    </row>
    <row r="21" ht="25.05" customHeight="1">
      <c r="A21" s="14" t="n">
        <v>99</v>
      </c>
      <c r="B21" s="14" t="inlineStr">
        <is>
          <t>APERITIVO MARTINI ROJO 100 CL</t>
        </is>
      </c>
      <c r="C21" s="15" t="n">
        <v>0</v>
      </c>
      <c r="D21" s="16" t="inlineStr">
        <is>
          <t>BOTELLA</t>
        </is>
      </c>
      <c r="E21" s="17" t="n">
        <v>8.052308</v>
      </c>
      <c r="F21" s="25">
        <f>C21*E21</f>
        <v/>
      </c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8" t="n"/>
      <c r="AI21" s="18" t="n"/>
      <c r="AJ21" s="18" t="n"/>
      <c r="AK21" s="18" t="n"/>
      <c r="AL21" s="19">
        <f>SUM(G21:AK21)</f>
        <v/>
      </c>
      <c r="AM21" s="20">
        <f>SUM(C21,AL21)</f>
        <v/>
      </c>
      <c r="AN21" s="21">
        <f>E21*AM21</f>
        <v/>
      </c>
    </row>
    <row r="22" ht="25.05" customHeight="1">
      <c r="A22" s="14" t="n">
        <v>29027</v>
      </c>
      <c r="B22" s="14" t="inlineStr">
        <is>
          <t>VERMUT BENDITO BIB 20 LT</t>
        </is>
      </c>
      <c r="C22" s="15" t="n">
        <v>0</v>
      </c>
      <c r="D22" s="16" t="inlineStr">
        <is>
          <t>LITRO</t>
        </is>
      </c>
      <c r="E22" s="17" t="n">
        <v>3.38105</v>
      </c>
      <c r="F22" s="25">
        <f>C22*E22</f>
        <v/>
      </c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8" t="n"/>
      <c r="AL22" s="19">
        <f>SUM(G22:AK22)</f>
        <v/>
      </c>
      <c r="AM22" s="20">
        <f>SUM(C22,AL22)</f>
        <v/>
      </c>
      <c r="AN22" s="21">
        <f>E22*AM22</f>
        <v/>
      </c>
    </row>
    <row r="23" ht="25.05" customHeight="1">
      <c r="A23" s="14" t="n">
        <v>27939</v>
      </c>
      <c r="B23" s="14" t="inlineStr">
        <is>
          <t>VERMUT MANUEL ARAGON 75 CL</t>
        </is>
      </c>
      <c r="C23" s="15" t="n">
        <v>0</v>
      </c>
      <c r="D23" s="16" t="inlineStr">
        <is>
          <t>BOTELLA</t>
        </is>
      </c>
      <c r="E23" s="17" t="n">
        <v>9.5</v>
      </c>
      <c r="F23" s="25">
        <f>C23*E23</f>
        <v/>
      </c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18" t="n"/>
      <c r="AI23" s="18" t="n"/>
      <c r="AJ23" s="18" t="n"/>
      <c r="AK23" s="18" t="n"/>
      <c r="AL23" s="19">
        <f>SUM(G23:AK23)</f>
        <v/>
      </c>
      <c r="AM23" s="20">
        <f>SUM(C23,AL23)</f>
        <v/>
      </c>
      <c r="AN23" s="21">
        <f>E23*AM23</f>
        <v/>
      </c>
    </row>
    <row r="24" ht="25.05" customHeight="1">
      <c r="A24" s="14" t="n">
        <v>20588</v>
      </c>
      <c r="B24" s="14" t="inlineStr">
        <is>
          <t>VERMUT ST PETRONI ROJO 1 LT</t>
        </is>
      </c>
      <c r="C24" s="15" t="n">
        <v>0</v>
      </c>
      <c r="D24" s="16" t="inlineStr">
        <is>
          <t>BOTELLA</t>
        </is>
      </c>
      <c r="E24" s="17" t="n">
        <v>11.2</v>
      </c>
      <c r="F24" s="25">
        <f>C24*E24</f>
        <v/>
      </c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8" t="n"/>
      <c r="AL24" s="19">
        <f>SUM(G24:AK24)</f>
        <v/>
      </c>
      <c r="AM24" s="20">
        <f>SUM(C24,AL24)</f>
        <v/>
      </c>
      <c r="AN24" s="21">
        <f>E24*AM24</f>
        <v/>
      </c>
    </row>
    <row r="25" ht="25.05" customHeight="1">
      <c r="A25" s="14" t="n">
        <v>27550</v>
      </c>
      <c r="B25" s="14" t="inlineStr">
        <is>
          <t>VERMUT YZAGUIRRE ROJO 1 LT</t>
        </is>
      </c>
      <c r="C25" s="15" t="n">
        <v>0</v>
      </c>
      <c r="D25" s="16" t="inlineStr">
        <is>
          <t>BOTELLA</t>
        </is>
      </c>
      <c r="E25" s="17" t="n">
        <v>5.6</v>
      </c>
      <c r="F25" s="25">
        <f>C25*E25</f>
        <v/>
      </c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9">
        <f>SUM(G25:AK25)</f>
        <v/>
      </c>
      <c r="AM25" s="20">
        <f>SUM(C25,AL25)</f>
        <v/>
      </c>
      <c r="AN25" s="21">
        <f>E25*AM25</f>
        <v/>
      </c>
    </row>
    <row r="26" ht="25.05" customHeight="1">
      <c r="A26" s="14" t="n">
        <v>2133</v>
      </c>
      <c r="B26" s="14" t="inlineStr">
        <is>
          <t>VINO GEN CHICLANERO 75 CL</t>
        </is>
      </c>
      <c r="C26" s="15" t="n">
        <v>0</v>
      </c>
      <c r="D26" s="16" t="inlineStr">
        <is>
          <t>BOTELLA</t>
        </is>
      </c>
      <c r="E26" s="17" t="n">
        <v>4.897748</v>
      </c>
      <c r="F26" s="25">
        <f>C26*E26</f>
        <v/>
      </c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9">
        <f>SUM(G26:AK26)</f>
        <v/>
      </c>
      <c r="AM26" s="20">
        <f>SUM(C26,AL26)</f>
        <v/>
      </c>
      <c r="AN26" s="21">
        <f>E26*AM26</f>
        <v/>
      </c>
    </row>
    <row r="27" ht="25.05" customHeight="1">
      <c r="A27" s="14" t="n">
        <v>2112</v>
      </c>
      <c r="B27" s="14" t="inlineStr">
        <is>
          <t>VINO GEN MOSCATEL 75 CL</t>
        </is>
      </c>
      <c r="C27" s="15" t="n">
        <v>0</v>
      </c>
      <c r="D27" s="16" t="inlineStr">
        <is>
          <t>BOTELLA</t>
        </is>
      </c>
      <c r="E27" s="17" t="n">
        <v>5.446076</v>
      </c>
      <c r="F27" s="25">
        <f>C27*E27</f>
        <v/>
      </c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9">
        <f>SUM(G27:AK27)</f>
        <v/>
      </c>
      <c r="AM27" s="20">
        <f>SUM(C27,AL27)</f>
        <v/>
      </c>
      <c r="AN27" s="21">
        <f>E27*AM27</f>
        <v/>
      </c>
    </row>
    <row r="28" ht="25.05" customHeight="1">
      <c r="A28" s="14" t="n">
        <v>2135</v>
      </c>
      <c r="B28" s="14" t="inlineStr">
        <is>
          <t>VINO GEN OLOROSO CHICLANERO 75 CL</t>
        </is>
      </c>
      <c r="C28" s="15" t="n">
        <v>0</v>
      </c>
      <c r="D28" s="16" t="inlineStr">
        <is>
          <t>BOTELLA</t>
        </is>
      </c>
      <c r="E28" s="17" t="n">
        <v>5.249838</v>
      </c>
      <c r="F28" s="25">
        <f>C28*E28</f>
        <v/>
      </c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  <c r="AI28" s="18" t="n"/>
      <c r="AJ28" s="18" t="n"/>
      <c r="AK28" s="18" t="n"/>
      <c r="AL28" s="19">
        <f>SUM(G28:AK28)</f>
        <v/>
      </c>
      <c r="AM28" s="20">
        <f>SUM(C28,AL28)</f>
        <v/>
      </c>
      <c r="AN28" s="21">
        <f>E28*AM28</f>
        <v/>
      </c>
    </row>
    <row r="29" ht="25.05" customHeight="1">
      <c r="A29" s="14" t="n">
        <v>26949</v>
      </c>
      <c r="B29" s="14" t="inlineStr">
        <is>
          <t>CERVEZA ALHAMBRA RESERVA 1925 C/R 33 CL</t>
        </is>
      </c>
      <c r="C29" s="15" t="n">
        <v>0</v>
      </c>
      <c r="D29" s="16" t="inlineStr">
        <is>
          <t>BOTELLA</t>
        </is>
      </c>
      <c r="E29" s="17" t="n">
        <v>0.757502</v>
      </c>
      <c r="F29" s="25">
        <f>C29*E29</f>
        <v/>
      </c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8" t="n"/>
      <c r="AL29" s="19">
        <f>SUM(G29:AK29)</f>
        <v/>
      </c>
      <c r="AM29" s="20">
        <f>SUM(C29,AL29)</f>
        <v/>
      </c>
      <c r="AN29" s="21">
        <f>E29*AM29</f>
        <v/>
      </c>
    </row>
    <row r="30" ht="25.05" customHeight="1">
      <c r="A30" s="14" t="n">
        <v>8992</v>
      </c>
      <c r="B30" s="14" t="inlineStr">
        <is>
          <t>CERVEZA BARRIL MAHOU CLASICA 30 LT</t>
        </is>
      </c>
      <c r="C30" s="15" t="n">
        <v>0</v>
      </c>
      <c r="D30" s="16" t="inlineStr">
        <is>
          <t>LITRO</t>
        </is>
      </c>
      <c r="E30" s="17" t="n">
        <v>0.502317</v>
      </c>
      <c r="F30" s="25">
        <f>C30*E30</f>
        <v/>
      </c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9">
        <f>SUM(G30:AK30)</f>
        <v/>
      </c>
      <c r="AM30" s="20">
        <f>SUM(C30,AL30)</f>
        <v/>
      </c>
      <c r="AN30" s="21">
        <f>E30*AM30</f>
        <v/>
      </c>
    </row>
    <row r="31" ht="25.05" customHeight="1">
      <c r="A31" s="14" t="n">
        <v>19221</v>
      </c>
      <c r="B31" s="14" t="inlineStr">
        <is>
          <t>CERVEZA MAHOU MAESTRA S/R 33 CL</t>
        </is>
      </c>
      <c r="C31" s="15" t="n">
        <v>0</v>
      </c>
      <c r="D31" s="16" t="inlineStr">
        <is>
          <t>BOTELLA</t>
        </is>
      </c>
      <c r="E31" s="17" t="n">
        <v>1.081</v>
      </c>
      <c r="F31" s="25">
        <f>C31*E31</f>
        <v/>
      </c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18" t="n"/>
      <c r="AI31" s="18" t="n"/>
      <c r="AJ31" s="18" t="n"/>
      <c r="AK31" s="18" t="n"/>
      <c r="AL31" s="19">
        <f>SUM(G31:AK31)</f>
        <v/>
      </c>
      <c r="AM31" s="20">
        <f>SUM(C31,AL31)</f>
        <v/>
      </c>
      <c r="AN31" s="21">
        <f>E31*AM31</f>
        <v/>
      </c>
    </row>
    <row r="32" ht="25.05" customHeight="1">
      <c r="A32" s="14" t="n">
        <v>17627</v>
      </c>
      <c r="B32" s="14" t="inlineStr">
        <is>
          <t>CERVEZA SAN MIGUEL S/GLUTEN SR 33 CL</t>
        </is>
      </c>
      <c r="C32" s="15" t="n">
        <v>0</v>
      </c>
      <c r="D32" s="16" t="inlineStr">
        <is>
          <t>BOTELLA</t>
        </is>
      </c>
      <c r="E32" s="17" t="n">
        <v>0.754984</v>
      </c>
      <c r="F32" s="25">
        <f>C32*E32</f>
        <v/>
      </c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8" t="n"/>
      <c r="AI32" s="18" t="n"/>
      <c r="AJ32" s="18" t="n"/>
      <c r="AK32" s="18" t="n"/>
      <c r="AL32" s="19">
        <f>SUM(G32:AK32)</f>
        <v/>
      </c>
      <c r="AM32" s="20">
        <f>SUM(C32,AL32)</f>
        <v/>
      </c>
      <c r="AN32" s="21">
        <f>E32*AM32</f>
        <v/>
      </c>
    </row>
    <row r="33" ht="25.05" customHeight="1">
      <c r="A33" s="14" t="n">
        <v>25720</v>
      </c>
      <c r="B33" s="14" t="inlineStr">
        <is>
          <t>CERVEZA SIN ALCOHOL MAHOU TOSTADA C/R 33 CL</t>
        </is>
      </c>
      <c r="C33" s="15" t="n">
        <v>0</v>
      </c>
      <c r="D33" s="16" t="inlineStr">
        <is>
          <t>UNIDAD</t>
        </is>
      </c>
      <c r="E33" s="17" t="n">
        <v>0.35092</v>
      </c>
      <c r="F33" s="25">
        <f>C33*E33</f>
        <v/>
      </c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18" t="n"/>
      <c r="AI33" s="18" t="n"/>
      <c r="AJ33" s="18" t="n"/>
      <c r="AK33" s="18" t="n"/>
      <c r="AL33" s="19">
        <f>SUM(G33:AK33)</f>
        <v/>
      </c>
      <c r="AM33" s="20">
        <f>SUM(C33,AL33)</f>
        <v/>
      </c>
      <c r="AN33" s="21">
        <f>E33*AM33</f>
        <v/>
      </c>
    </row>
    <row r="34" ht="25.05" customHeight="1">
      <c r="A34" s="14" t="n">
        <v>5796</v>
      </c>
      <c r="B34" s="14" t="inlineStr">
        <is>
          <t>CERVEZA SIN ALCOHOL S.M 0'0 33 CL</t>
        </is>
      </c>
      <c r="C34" s="15" t="n">
        <v>0</v>
      </c>
      <c r="D34" s="16" t="inlineStr">
        <is>
          <t>BOTELLA</t>
        </is>
      </c>
      <c r="E34" s="17" t="n">
        <v>0.327086</v>
      </c>
      <c r="F34" s="25">
        <f>C34*E34</f>
        <v/>
      </c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  <c r="AL34" s="19">
        <f>SUM(G34:AK34)</f>
        <v/>
      </c>
      <c r="AM34" s="20">
        <f>SUM(C34,AL34)</f>
        <v/>
      </c>
      <c r="AN34" s="21">
        <f>E34*AM34</f>
        <v/>
      </c>
    </row>
    <row r="35" ht="25.05" customHeight="1">
      <c r="A35" s="14" t="n">
        <v>117</v>
      </c>
      <c r="B35" s="14" t="inlineStr">
        <is>
          <t>LICOR BAILEY'S 100 CL</t>
        </is>
      </c>
      <c r="C35" s="15" t="n">
        <v>0</v>
      </c>
      <c r="D35" s="16" t="inlineStr">
        <is>
          <t>BOTELLA</t>
        </is>
      </c>
      <c r="E35" s="17" t="n">
        <v>14.447462</v>
      </c>
      <c r="F35" s="25">
        <f>C35*E35</f>
        <v/>
      </c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19">
        <f>SUM(G35:AK35)</f>
        <v/>
      </c>
      <c r="AM35" s="20">
        <f>SUM(C35,AL35)</f>
        <v/>
      </c>
      <c r="AN35" s="21">
        <f>E35*AM35</f>
        <v/>
      </c>
    </row>
    <row r="36" ht="25.05" customHeight="1">
      <c r="A36" s="14" t="n">
        <v>25824</v>
      </c>
      <c r="B36" s="14" t="inlineStr">
        <is>
          <t>LICOR LIMONCELLO VILLA MASSA 70 CL</t>
        </is>
      </c>
      <c r="C36" s="15" t="n">
        <v>0</v>
      </c>
      <c r="D36" s="16" t="inlineStr">
        <is>
          <t>BOTELLA</t>
        </is>
      </c>
      <c r="E36" s="17" t="n">
        <v>11.11</v>
      </c>
      <c r="F36" s="25">
        <f>C36*E36</f>
        <v/>
      </c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  <c r="AL36" s="19">
        <f>SUM(G36:AK36)</f>
        <v/>
      </c>
      <c r="AM36" s="20">
        <f>SUM(C36,AL36)</f>
        <v/>
      </c>
      <c r="AN36" s="21">
        <f>E36*AM36</f>
        <v/>
      </c>
    </row>
    <row r="37" ht="25.05" customHeight="1">
      <c r="A37" s="14" t="n">
        <v>920967</v>
      </c>
      <c r="B37" s="14" t="inlineStr">
        <is>
          <t>LICOR PACHARAN ZOCO 100 CL</t>
        </is>
      </c>
      <c r="C37" s="15" t="n">
        <v>0</v>
      </c>
      <c r="D37" s="16" t="inlineStr">
        <is>
          <t>BOTELLA</t>
        </is>
      </c>
      <c r="E37" s="17" t="n">
        <v>10.009958</v>
      </c>
      <c r="F37" s="25">
        <f>C37*E37</f>
        <v/>
      </c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  <c r="AH37" s="18" t="n"/>
      <c r="AI37" s="18" t="n"/>
      <c r="AJ37" s="18" t="n"/>
      <c r="AK37" s="18" t="n"/>
      <c r="AL37" s="19">
        <f>SUM(G37:AK37)</f>
        <v/>
      </c>
      <c r="AM37" s="20">
        <f>SUM(C37,AL37)</f>
        <v/>
      </c>
      <c r="AN37" s="21">
        <f>E37*AM37</f>
        <v/>
      </c>
    </row>
    <row r="38" ht="25.05" customHeight="1">
      <c r="A38" s="14" t="n">
        <v>6171</v>
      </c>
      <c r="B38" s="14" t="inlineStr">
        <is>
          <t>LICOR MANZANA S/ALCOHOL 70 CL</t>
        </is>
      </c>
      <c r="C38" s="15" t="n">
        <v>0</v>
      </c>
      <c r="D38" s="16" t="inlineStr">
        <is>
          <t>BOTELLA</t>
        </is>
      </c>
      <c r="E38" s="17" t="n">
        <v>3.459693</v>
      </c>
      <c r="F38" s="25">
        <f>C38*E38</f>
        <v/>
      </c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  <c r="AL38" s="19">
        <f>SUM(G38:AK38)</f>
        <v/>
      </c>
      <c r="AM38" s="20">
        <f>SUM(C38,AL38)</f>
        <v/>
      </c>
      <c r="AN38" s="21">
        <f>E38*AM38</f>
        <v/>
      </c>
    </row>
    <row r="39" ht="25.05" customHeight="1">
      <c r="A39" s="14" t="n">
        <v>173</v>
      </c>
      <c r="B39" s="14" t="inlineStr">
        <is>
          <t>REFRESCO BIB COCA COLA</t>
        </is>
      </c>
      <c r="C39" s="15" t="n">
        <v>0</v>
      </c>
      <c r="D39" s="16" t="inlineStr">
        <is>
          <t>LITRO</t>
        </is>
      </c>
      <c r="E39" s="17" t="n">
        <v>7.021113</v>
      </c>
      <c r="F39" s="25">
        <f>C39*E39</f>
        <v/>
      </c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  <c r="AI39" s="18" t="n"/>
      <c r="AJ39" s="18" t="n"/>
      <c r="AK39" s="18" t="n"/>
      <c r="AL39" s="19">
        <f>SUM(G39:AK39)</f>
        <v/>
      </c>
      <c r="AM39" s="20">
        <f>SUM(C39,AL39)</f>
        <v/>
      </c>
      <c r="AN39" s="21">
        <f>E39*AM39</f>
        <v/>
      </c>
    </row>
    <row r="40" ht="25.05" customHeight="1">
      <c r="A40" s="14" t="n">
        <v>9155</v>
      </c>
      <c r="B40" s="14" t="inlineStr">
        <is>
          <t>REFRESCO BIB COCA COLA ZERO</t>
        </is>
      </c>
      <c r="C40" s="15" t="n">
        <v>0</v>
      </c>
      <c r="D40" s="16" t="inlineStr">
        <is>
          <t>LITRO</t>
        </is>
      </c>
      <c r="E40" s="17" t="n">
        <v>7.017727</v>
      </c>
      <c r="F40" s="25">
        <f>C40*E40</f>
        <v/>
      </c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19">
        <f>SUM(G40:AK40)</f>
        <v/>
      </c>
      <c r="AM40" s="20">
        <f>SUM(C40,AL40)</f>
        <v/>
      </c>
      <c r="AN40" s="21">
        <f>E40*AM40</f>
        <v/>
      </c>
    </row>
    <row r="41" ht="25.05" customHeight="1">
      <c r="A41" s="14" t="n">
        <v>21366</v>
      </c>
      <c r="B41" s="14" t="inlineStr">
        <is>
          <t>REFRESCO BIB FANTA LIMON ZERO</t>
        </is>
      </c>
      <c r="C41" s="15" t="n">
        <v>0</v>
      </c>
      <c r="D41" s="16" t="inlineStr">
        <is>
          <t>LITRO</t>
        </is>
      </c>
      <c r="E41" s="17" t="n">
        <v>5.971363</v>
      </c>
      <c r="F41" s="25">
        <f>C41*E41</f>
        <v/>
      </c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  <c r="AL41" s="19">
        <f>SUM(G41:AK41)</f>
        <v/>
      </c>
      <c r="AM41" s="20">
        <f>SUM(C41,AL41)</f>
        <v/>
      </c>
      <c r="AN41" s="21">
        <f>E41*AM41</f>
        <v/>
      </c>
    </row>
    <row r="42" ht="25.05" customHeight="1">
      <c r="A42" s="14" t="n">
        <v>21367</v>
      </c>
      <c r="B42" s="14" t="inlineStr">
        <is>
          <t>REFRESCO BIB FANTA NARANJA ZERO</t>
        </is>
      </c>
      <c r="C42" s="15" t="n">
        <v>0</v>
      </c>
      <c r="D42" s="16" t="inlineStr">
        <is>
          <t>LITRO</t>
        </is>
      </c>
      <c r="E42" s="17" t="n">
        <v>5.970082</v>
      </c>
      <c r="F42" s="25">
        <f>C42*E42</f>
        <v/>
      </c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n"/>
      <c r="AL42" s="19">
        <f>SUM(G42:AK42)</f>
        <v/>
      </c>
      <c r="AM42" s="20">
        <f>SUM(C42,AL42)</f>
        <v/>
      </c>
      <c r="AN42" s="21">
        <f>E42*AM42</f>
        <v/>
      </c>
    </row>
    <row r="43" ht="25.05" customHeight="1">
      <c r="A43" s="14" t="n">
        <v>26662</v>
      </c>
      <c r="B43" s="14" t="inlineStr">
        <is>
          <t>REFRESCO BIB SPRITE ZERO</t>
        </is>
      </c>
      <c r="C43" s="15" t="n">
        <v>0</v>
      </c>
      <c r="D43" s="16" t="inlineStr">
        <is>
          <t>LITRO</t>
        </is>
      </c>
      <c r="E43" s="17" t="n">
        <v>7.064839</v>
      </c>
      <c r="F43" s="25">
        <f>C43*E43</f>
        <v/>
      </c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8" t="n"/>
      <c r="AK43" s="18" t="n"/>
      <c r="AL43" s="19">
        <f>SUM(G43:AK43)</f>
        <v/>
      </c>
      <c r="AM43" s="20">
        <f>SUM(C43,AL43)</f>
        <v/>
      </c>
      <c r="AN43" s="21">
        <f>E43*AM43</f>
        <v/>
      </c>
    </row>
    <row r="44" ht="25.05" customHeight="1">
      <c r="A44" s="14" t="n">
        <v>17110</v>
      </c>
      <c r="B44" s="14" t="inlineStr">
        <is>
          <t>REFRESCO CRISTAL COCA COLA C/R 23.7 CL</t>
        </is>
      </c>
      <c r="C44" s="15" t="n">
        <v>0</v>
      </c>
      <c r="D44" s="16" t="inlineStr">
        <is>
          <t>BOTELLA</t>
        </is>
      </c>
      <c r="E44" s="17" t="n">
        <v>0.424145</v>
      </c>
      <c r="F44" s="25">
        <f>C44*E44</f>
        <v/>
      </c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  <c r="AJ44" s="18" t="n"/>
      <c r="AK44" s="18" t="n"/>
      <c r="AL44" s="19">
        <f>SUM(G44:AK44)</f>
        <v/>
      </c>
      <c r="AM44" s="20">
        <f>SUM(C44,AL44)</f>
        <v/>
      </c>
      <c r="AN44" s="21">
        <f>E44*AM44</f>
        <v/>
      </c>
    </row>
    <row r="45" ht="25.05" customHeight="1">
      <c r="A45" s="14" t="n">
        <v>17111</v>
      </c>
      <c r="B45" s="14" t="inlineStr">
        <is>
          <t>REFRESCO CRISTAL COCA COLA ZERO C/R 23.7 CL</t>
        </is>
      </c>
      <c r="C45" s="15" t="n">
        <v>0</v>
      </c>
      <c r="D45" s="16" t="inlineStr">
        <is>
          <t>BOTELLA</t>
        </is>
      </c>
      <c r="E45" s="17" t="n">
        <v>0.42435</v>
      </c>
      <c r="F45" s="25">
        <f>C45*E45</f>
        <v/>
      </c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  <c r="AE45" s="18" t="n"/>
      <c r="AF45" s="18" t="n"/>
      <c r="AG45" s="18" t="n"/>
      <c r="AH45" s="18" t="n"/>
      <c r="AI45" s="18" t="n"/>
      <c r="AJ45" s="18" t="n"/>
      <c r="AK45" s="18" t="n"/>
      <c r="AL45" s="19">
        <f>SUM(G45:AK45)</f>
        <v/>
      </c>
      <c r="AM45" s="20">
        <f>SUM(C45,AL45)</f>
        <v/>
      </c>
      <c r="AN45" s="21">
        <f>E45*AM45</f>
        <v/>
      </c>
    </row>
    <row r="46" ht="25.05" customHeight="1">
      <c r="A46" s="14" t="n">
        <v>19391</v>
      </c>
      <c r="B46" s="14" t="inlineStr">
        <is>
          <t>REFRESCO CRISTAL FANTA LIMON C/R 23.7 CL</t>
        </is>
      </c>
      <c r="C46" s="15" t="n">
        <v>0</v>
      </c>
      <c r="D46" s="16" t="inlineStr">
        <is>
          <t>BOTELLA</t>
        </is>
      </c>
      <c r="E46" s="17" t="n">
        <v>0.394998</v>
      </c>
      <c r="F46" s="25">
        <f>C46*E46</f>
        <v/>
      </c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  <c r="AE46" s="18" t="n"/>
      <c r="AF46" s="18" t="n"/>
      <c r="AG46" s="18" t="n"/>
      <c r="AH46" s="18" t="n"/>
      <c r="AI46" s="18" t="n"/>
      <c r="AJ46" s="18" t="n"/>
      <c r="AK46" s="18" t="n"/>
      <c r="AL46" s="19">
        <f>SUM(G46:AK46)</f>
        <v/>
      </c>
      <c r="AM46" s="20">
        <f>SUM(C46,AL46)</f>
        <v/>
      </c>
      <c r="AN46" s="21">
        <f>E46*AM46</f>
        <v/>
      </c>
    </row>
    <row r="47" ht="25.05" customHeight="1">
      <c r="A47" s="14" t="n">
        <v>19392</v>
      </c>
      <c r="B47" s="14" t="inlineStr">
        <is>
          <t>REFRESCO CRISTAL FANTA NARANJA C/R 23.7 CL</t>
        </is>
      </c>
      <c r="C47" s="15" t="n">
        <v>0</v>
      </c>
      <c r="D47" s="16" t="inlineStr">
        <is>
          <t>BOTELLA</t>
        </is>
      </c>
      <c r="E47" s="17" t="n">
        <v>0.396223</v>
      </c>
      <c r="F47" s="25">
        <f>C47*E47</f>
        <v/>
      </c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  <c r="AE47" s="18" t="n"/>
      <c r="AF47" s="18" t="n"/>
      <c r="AG47" s="18" t="n"/>
      <c r="AH47" s="18" t="n"/>
      <c r="AI47" s="18" t="n"/>
      <c r="AJ47" s="18" t="n"/>
      <c r="AK47" s="18" t="n"/>
      <c r="AL47" s="19">
        <f>SUM(G47:AK47)</f>
        <v/>
      </c>
      <c r="AM47" s="20">
        <f>SUM(C47,AL47)</f>
        <v/>
      </c>
      <c r="AN47" s="21">
        <f>E47*AM47</f>
        <v/>
      </c>
    </row>
    <row r="48" ht="25.05" customHeight="1">
      <c r="A48" s="14" t="n">
        <v>1802</v>
      </c>
      <c r="B48" s="14" t="inlineStr">
        <is>
          <t>REFRESCO CRISTAL SPRITE C/R 20 CL</t>
        </is>
      </c>
      <c r="C48" s="15" t="n">
        <v>0</v>
      </c>
      <c r="D48" s="16" t="inlineStr">
        <is>
          <t>BOTELLA</t>
        </is>
      </c>
      <c r="E48" s="17" t="n">
        <v>0.359335</v>
      </c>
      <c r="F48" s="25">
        <f>C48*E48</f>
        <v/>
      </c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  <c r="AE48" s="18" t="n"/>
      <c r="AF48" s="18" t="n"/>
      <c r="AG48" s="18" t="n"/>
      <c r="AH48" s="18" t="n"/>
      <c r="AI48" s="18" t="n"/>
      <c r="AJ48" s="18" t="n"/>
      <c r="AK48" s="18" t="n"/>
      <c r="AL48" s="19">
        <f>SUM(G48:AK48)</f>
        <v/>
      </c>
      <c r="AM48" s="20">
        <f>SUM(C48,AL48)</f>
        <v/>
      </c>
      <c r="AN48" s="21">
        <f>E48*AM48</f>
        <v/>
      </c>
    </row>
    <row r="49" ht="25.05" customHeight="1">
      <c r="A49" s="14" t="n">
        <v>4100</v>
      </c>
      <c r="B49" s="14" t="inlineStr">
        <is>
          <t>REFRESCO CRISTAL TONICA NORDIC MIST C/R 20 CL</t>
        </is>
      </c>
      <c r="C49" s="15" t="n">
        <v>0</v>
      </c>
      <c r="D49" s="16" t="inlineStr">
        <is>
          <t>BOTELLA</t>
        </is>
      </c>
      <c r="E49" s="17" t="n">
        <v>0.411875</v>
      </c>
      <c r="F49" s="25">
        <f>C49*E49</f>
        <v/>
      </c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  <c r="AE49" s="18" t="n"/>
      <c r="AF49" s="18" t="n"/>
      <c r="AG49" s="18" t="n"/>
      <c r="AH49" s="18" t="n"/>
      <c r="AI49" s="18" t="n"/>
      <c r="AJ49" s="18" t="n"/>
      <c r="AK49" s="18" t="n"/>
      <c r="AL49" s="19">
        <f>SUM(G49:AK49)</f>
        <v/>
      </c>
      <c r="AM49" s="20">
        <f>SUM(C49,AL49)</f>
        <v/>
      </c>
      <c r="AN49" s="21">
        <f>E49*AM49</f>
        <v/>
      </c>
    </row>
    <row r="50" ht="25.05" customHeight="1">
      <c r="A50" s="14" t="n">
        <v>27731</v>
      </c>
      <c r="B50" s="14" t="inlineStr">
        <is>
          <t>REFRESCO BIB FUZE TEA LIMON S/AZUCAR</t>
        </is>
      </c>
      <c r="C50" s="15" t="n">
        <v>0</v>
      </c>
      <c r="D50" s="16" t="inlineStr">
        <is>
          <t>LITRO</t>
        </is>
      </c>
      <c r="E50" s="17" t="n">
        <v>9.010847</v>
      </c>
      <c r="F50" s="25">
        <f>C50*E50</f>
        <v/>
      </c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  <c r="AE50" s="18" t="n"/>
      <c r="AF50" s="18" t="n"/>
      <c r="AG50" s="18" t="n"/>
      <c r="AH50" s="18" t="n"/>
      <c r="AI50" s="18" t="n"/>
      <c r="AJ50" s="18" t="n"/>
      <c r="AK50" s="18" t="n"/>
      <c r="AL50" s="19">
        <f>SUM(G50:AK50)</f>
        <v/>
      </c>
      <c r="AM50" s="20">
        <f>SUM(C50,AL50)</f>
        <v/>
      </c>
      <c r="AN50" s="21">
        <f>E50*AM50</f>
        <v/>
      </c>
    </row>
    <row r="51" ht="25.05" customHeight="1">
      <c r="A51" s="14" t="n">
        <v>24707</v>
      </c>
      <c r="B51" s="14" t="inlineStr">
        <is>
          <t>VINO BCO BARBADILLO MOSCATO FRIZZANTE 75 CL</t>
        </is>
      </c>
      <c r="C51" s="15" t="n">
        <v>0</v>
      </c>
      <c r="D51" s="16" t="inlineStr">
        <is>
          <t>BOTELLA</t>
        </is>
      </c>
      <c r="E51" s="17" t="n">
        <v>4.737802</v>
      </c>
      <c r="F51" s="25">
        <f>C51*E51</f>
        <v/>
      </c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  <c r="P51" s="18" t="n"/>
      <c r="Q51" s="18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/>
      <c r="AE51" s="18" t="n"/>
      <c r="AF51" s="18" t="n"/>
      <c r="AG51" s="18" t="n"/>
      <c r="AH51" s="18" t="n"/>
      <c r="AI51" s="18" t="n"/>
      <c r="AJ51" s="18" t="n"/>
      <c r="AK51" s="18" t="n"/>
      <c r="AL51" s="19">
        <f>SUM(G51:AK51)</f>
        <v/>
      </c>
      <c r="AM51" s="20">
        <f>SUM(C51,AL51)</f>
        <v/>
      </c>
      <c r="AN51" s="21">
        <f>E51*AM51</f>
        <v/>
      </c>
    </row>
    <row r="52" ht="25.05" customHeight="1">
      <c r="A52" s="14" t="n">
        <v>24622</v>
      </c>
      <c r="B52" s="14" t="inlineStr">
        <is>
          <t>VINO BCO BICICLETAS Y PECES SAUVIGNON BLANC ECO 75 CL</t>
        </is>
      </c>
      <c r="C52" s="15" t="n">
        <v>0</v>
      </c>
      <c r="D52" s="16" t="inlineStr">
        <is>
          <t>BOTELLA</t>
        </is>
      </c>
      <c r="E52" s="17" t="n">
        <v>4.89</v>
      </c>
      <c r="F52" s="25">
        <f>C52*E52</f>
        <v/>
      </c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  <c r="AE52" s="18" t="n"/>
      <c r="AF52" s="18" t="n"/>
      <c r="AG52" s="18" t="n"/>
      <c r="AH52" s="18" t="n"/>
      <c r="AI52" s="18" t="n"/>
      <c r="AJ52" s="18" t="n"/>
      <c r="AK52" s="18" t="n"/>
      <c r="AL52" s="19">
        <f>SUM(G52:AK52)</f>
        <v/>
      </c>
      <c r="AM52" s="20">
        <f>SUM(C52,AL52)</f>
        <v/>
      </c>
      <c r="AN52" s="21">
        <f>E52*AM52</f>
        <v/>
      </c>
    </row>
    <row r="53" ht="25.05" customHeight="1">
      <c r="A53" s="14" t="n">
        <v>15593</v>
      </c>
      <c r="B53" s="14" t="inlineStr">
        <is>
          <t>VINO BCO CARPATHIA 75 CL</t>
        </is>
      </c>
      <c r="C53" s="15" t="n">
        <v>0</v>
      </c>
      <c r="D53" s="16" t="inlineStr">
        <is>
          <t>BOTELLA</t>
        </is>
      </c>
      <c r="E53" s="17" t="n">
        <v>2.054</v>
      </c>
      <c r="F53" s="25">
        <f>C53*E53</f>
        <v/>
      </c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  <c r="P53" s="18" t="n"/>
      <c r="Q53" s="18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/>
      <c r="AD53" s="18" t="n"/>
      <c r="AE53" s="18" t="n"/>
      <c r="AF53" s="18" t="n"/>
      <c r="AG53" s="18" t="n"/>
      <c r="AH53" s="18" t="n"/>
      <c r="AI53" s="18" t="n"/>
      <c r="AJ53" s="18" t="n"/>
      <c r="AK53" s="18" t="n"/>
      <c r="AL53" s="19">
        <f>SUM(G53:AK53)</f>
        <v/>
      </c>
      <c r="AM53" s="20">
        <f>SUM(C53,AL53)</f>
        <v/>
      </c>
      <c r="AN53" s="21">
        <f>E53*AM53</f>
        <v/>
      </c>
    </row>
    <row r="54" ht="25.05" customHeight="1">
      <c r="A54" s="14" t="n">
        <v>1225</v>
      </c>
      <c r="B54" s="14" t="inlineStr">
        <is>
          <t>VINO BCO CASTILLO SAN DIEGO 75 CL</t>
        </is>
      </c>
      <c r="C54" s="15" t="n">
        <v>0</v>
      </c>
      <c r="D54" s="16" t="inlineStr">
        <is>
          <t>BOTELLA</t>
        </is>
      </c>
      <c r="E54" s="17" t="n">
        <v>2.811999</v>
      </c>
      <c r="F54" s="25">
        <f>C54*E54</f>
        <v/>
      </c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  <c r="AC54" s="18" t="n"/>
      <c r="AD54" s="18" t="n"/>
      <c r="AE54" s="18" t="n"/>
      <c r="AF54" s="18" t="n"/>
      <c r="AG54" s="18" t="n"/>
      <c r="AH54" s="18" t="n"/>
      <c r="AI54" s="18" t="n"/>
      <c r="AJ54" s="18" t="n"/>
      <c r="AK54" s="18" t="n"/>
      <c r="AL54" s="19">
        <f>SUM(G54:AK54)</f>
        <v/>
      </c>
      <c r="AM54" s="20">
        <f>SUM(C54,AL54)</f>
        <v/>
      </c>
      <c r="AN54" s="21">
        <f>E54*AM54</f>
        <v/>
      </c>
    </row>
    <row r="55" ht="25.05" customHeight="1">
      <c r="A55" s="14" t="n">
        <v>154</v>
      </c>
      <c r="B55" s="14" t="inlineStr">
        <is>
          <t>VINO BCO CONDE CARALT SEMI 75 CL</t>
        </is>
      </c>
      <c r="C55" s="15" t="n">
        <v>0</v>
      </c>
      <c r="D55" s="16" t="inlineStr">
        <is>
          <t>BOTELLA</t>
        </is>
      </c>
      <c r="E55" s="17" t="n">
        <v>2.157398</v>
      </c>
      <c r="F55" s="25">
        <f>C55*E55</f>
        <v/>
      </c>
      <c r="G55" s="18" t="n"/>
      <c r="H55" s="18" t="n"/>
      <c r="I55" s="18" t="n"/>
      <c r="J55" s="18" t="n"/>
      <c r="K55" s="18" t="n"/>
      <c r="L55" s="18" t="n"/>
      <c r="M55" s="18" t="n"/>
      <c r="N55" s="18" t="n"/>
      <c r="O55" s="18" t="n"/>
      <c r="P55" s="18" t="n"/>
      <c r="Q55" s="18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  <c r="AA55" s="18" t="n"/>
      <c r="AB55" s="18" t="n"/>
      <c r="AC55" s="18" t="n"/>
      <c r="AD55" s="18" t="n"/>
      <c r="AE55" s="18" t="n"/>
      <c r="AF55" s="18" t="n"/>
      <c r="AG55" s="18" t="n"/>
      <c r="AH55" s="18" t="n"/>
      <c r="AI55" s="18" t="n"/>
      <c r="AJ55" s="18" t="n"/>
      <c r="AK55" s="18" t="n"/>
      <c r="AL55" s="19">
        <f>SUM(G55:AK55)</f>
        <v/>
      </c>
      <c r="AM55" s="20">
        <f>SUM(C55,AL55)</f>
        <v/>
      </c>
      <c r="AN55" s="21">
        <f>E55*AM55</f>
        <v/>
      </c>
    </row>
    <row r="56" ht="25.05" customHeight="1">
      <c r="A56" s="14" t="n">
        <v>16134</v>
      </c>
      <c r="B56" s="14" t="inlineStr">
        <is>
          <t>VINO BCO FILLABOA 75 CL</t>
        </is>
      </c>
      <c r="C56" s="15" t="n">
        <v>0</v>
      </c>
      <c r="D56" s="16" t="inlineStr">
        <is>
          <t>BOTELLA</t>
        </is>
      </c>
      <c r="E56" s="17" t="n">
        <v>7.14</v>
      </c>
      <c r="F56" s="25">
        <f>C56*E56</f>
        <v/>
      </c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  <c r="Q56" s="18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8" t="n"/>
      <c r="AD56" s="18" t="n"/>
      <c r="AE56" s="18" t="n"/>
      <c r="AF56" s="18" t="n"/>
      <c r="AG56" s="18" t="n"/>
      <c r="AH56" s="18" t="n"/>
      <c r="AI56" s="18" t="n"/>
      <c r="AJ56" s="18" t="n"/>
      <c r="AK56" s="18" t="n"/>
      <c r="AL56" s="19">
        <f>SUM(G56:AK56)</f>
        <v/>
      </c>
      <c r="AM56" s="20">
        <f>SUM(C56,AL56)</f>
        <v/>
      </c>
      <c r="AN56" s="21">
        <f>E56*AM56</f>
        <v/>
      </c>
    </row>
    <row r="57" ht="25.05" customHeight="1">
      <c r="A57" s="14" t="n">
        <v>3107</v>
      </c>
      <c r="B57" s="14" t="inlineStr">
        <is>
          <t>VINO BCO IRACHE 75 CL</t>
        </is>
      </c>
      <c r="C57" s="15" t="n">
        <v>0</v>
      </c>
      <c r="D57" s="16" t="inlineStr">
        <is>
          <t>BOTELLA</t>
        </is>
      </c>
      <c r="E57" s="17" t="n">
        <v>2.311867</v>
      </c>
      <c r="F57" s="25">
        <f>C57*E57</f>
        <v/>
      </c>
      <c r="G57" s="18" t="n"/>
      <c r="H57" s="18" t="n"/>
      <c r="I57" s="18" t="n"/>
      <c r="J57" s="18" t="n"/>
      <c r="K57" s="18" t="n"/>
      <c r="L57" s="18" t="n"/>
      <c r="M57" s="18" t="n"/>
      <c r="N57" s="18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I57" s="18" t="n"/>
      <c r="AJ57" s="18" t="n"/>
      <c r="AK57" s="18" t="n"/>
      <c r="AL57" s="19">
        <f>SUM(G57:AK57)</f>
        <v/>
      </c>
      <c r="AM57" s="20">
        <f>SUM(C57,AL57)</f>
        <v/>
      </c>
      <c r="AN57" s="21">
        <f>E57*AM57</f>
        <v/>
      </c>
    </row>
    <row r="58" ht="25.05" customHeight="1">
      <c r="A58" s="14" t="n">
        <v>30901</v>
      </c>
      <c r="B58" s="14" t="inlineStr">
        <is>
          <t>VINO BCO JOSE PARIENTE VERDEJO 75 CL</t>
        </is>
      </c>
      <c r="C58" s="15" t="n">
        <v>0</v>
      </c>
      <c r="D58" s="16" t="inlineStr">
        <is>
          <t>BOTELLA</t>
        </is>
      </c>
      <c r="E58" s="17" t="n">
        <v>7.3</v>
      </c>
      <c r="F58" s="25">
        <f>C58*E58</f>
        <v/>
      </c>
      <c r="G58" s="18" t="n"/>
      <c r="H58" s="18" t="n"/>
      <c r="I58" s="18" t="n"/>
      <c r="J58" s="18" t="n"/>
      <c r="K58" s="18" t="n"/>
      <c r="L58" s="18" t="n"/>
      <c r="M58" s="18" t="n"/>
      <c r="N58" s="18" t="n"/>
      <c r="O58" s="18" t="n"/>
      <c r="P58" s="18" t="n"/>
      <c r="Q58" s="18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  <c r="AA58" s="18" t="n"/>
      <c r="AB58" s="18" t="n"/>
      <c r="AC58" s="18" t="n"/>
      <c r="AD58" s="18" t="n"/>
      <c r="AE58" s="18" t="n"/>
      <c r="AF58" s="18" t="n"/>
      <c r="AG58" s="18" t="n"/>
      <c r="AH58" s="18" t="n"/>
      <c r="AI58" s="18" t="n"/>
      <c r="AJ58" s="18" t="n"/>
      <c r="AK58" s="18" t="n"/>
      <c r="AL58" s="19">
        <f>SUM(G58:AK58)</f>
        <v/>
      </c>
      <c r="AM58" s="20">
        <f>SUM(C58,AL58)</f>
        <v/>
      </c>
      <c r="AN58" s="21">
        <f>E58*AM58</f>
        <v/>
      </c>
    </row>
    <row r="59" ht="25.05" customHeight="1">
      <c r="A59" s="14" t="n">
        <v>14990</v>
      </c>
      <c r="B59" s="14" t="inlineStr">
        <is>
          <t>VINO BCO SECO PARAMUS 75 CL</t>
        </is>
      </c>
      <c r="C59" s="15" t="n">
        <v>0</v>
      </c>
      <c r="D59" s="16" t="inlineStr">
        <is>
          <t>BOTELLA</t>
        </is>
      </c>
      <c r="E59" s="17" t="n">
        <v>1.849922</v>
      </c>
      <c r="F59" s="25">
        <f>C59*E59</f>
        <v/>
      </c>
      <c r="G59" s="18" t="n"/>
      <c r="H59" s="18" t="n"/>
      <c r="I59" s="18" t="n"/>
      <c r="J59" s="18" t="n"/>
      <c r="K59" s="18" t="n"/>
      <c r="L59" s="18" t="n"/>
      <c r="M59" s="18" t="n"/>
      <c r="N59" s="18" t="n"/>
      <c r="O59" s="18" t="n"/>
      <c r="P59" s="18" t="n"/>
      <c r="Q59" s="18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  <c r="AA59" s="18" t="n"/>
      <c r="AB59" s="18" t="n"/>
      <c r="AC59" s="18" t="n"/>
      <c r="AD59" s="18" t="n"/>
      <c r="AE59" s="18" t="n"/>
      <c r="AF59" s="18" t="n"/>
      <c r="AG59" s="18" t="n"/>
      <c r="AH59" s="18" t="n"/>
      <c r="AI59" s="18" t="n"/>
      <c r="AJ59" s="18" t="n"/>
      <c r="AK59" s="18" t="n"/>
      <c r="AL59" s="19">
        <f>SUM(G59:AK59)</f>
        <v/>
      </c>
      <c r="AM59" s="20">
        <f>SUM(C59,AL59)</f>
        <v/>
      </c>
      <c r="AN59" s="21">
        <f>E59*AM59</f>
        <v/>
      </c>
    </row>
    <row r="60" ht="25.05" customHeight="1">
      <c r="A60" s="14" t="n">
        <v>23809</v>
      </c>
      <c r="B60" s="14" t="inlineStr">
        <is>
          <t>VINO BCO SEMI DULCE MAESTRANTE 75 CL</t>
        </is>
      </c>
      <c r="C60" s="15" t="n">
        <v>0</v>
      </c>
      <c r="D60" s="16" t="inlineStr">
        <is>
          <t>BOTELLA</t>
        </is>
      </c>
      <c r="E60" s="17" t="n">
        <v>2.811999</v>
      </c>
      <c r="F60" s="25">
        <f>C60*E60</f>
        <v/>
      </c>
      <c r="G60" s="18" t="n"/>
      <c r="H60" s="18" t="n"/>
      <c r="I60" s="18" t="n"/>
      <c r="J60" s="18" t="n"/>
      <c r="K60" s="18" t="n"/>
      <c r="L60" s="18" t="n"/>
      <c r="M60" s="18" t="n"/>
      <c r="N60" s="18" t="n"/>
      <c r="O60" s="18" t="n"/>
      <c r="P60" s="18" t="n"/>
      <c r="Q60" s="18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  <c r="AA60" s="18" t="n"/>
      <c r="AB60" s="18" t="n"/>
      <c r="AC60" s="18" t="n"/>
      <c r="AD60" s="18" t="n"/>
      <c r="AE60" s="18" t="n"/>
      <c r="AF60" s="18" t="n"/>
      <c r="AG60" s="18" t="n"/>
      <c r="AH60" s="18" t="n"/>
      <c r="AI60" s="18" t="n"/>
      <c r="AJ60" s="18" t="n"/>
      <c r="AK60" s="18" t="n"/>
      <c r="AL60" s="19">
        <f>SUM(G60:AK60)</f>
        <v/>
      </c>
      <c r="AM60" s="20">
        <f>SUM(C60,AL60)</f>
        <v/>
      </c>
      <c r="AN60" s="21">
        <f>E60*AM60</f>
        <v/>
      </c>
    </row>
    <row r="61" ht="25.05" customHeight="1">
      <c r="A61" s="14" t="n">
        <v>162</v>
      </c>
      <c r="B61" s="14" t="inlineStr">
        <is>
          <t>VINO RDO AÑARES 75 CL</t>
        </is>
      </c>
      <c r="C61" s="15" t="n">
        <v>0</v>
      </c>
      <c r="D61" s="16" t="inlineStr">
        <is>
          <t>BOTELLA</t>
        </is>
      </c>
      <c r="E61" s="17" t="n">
        <v>3.67</v>
      </c>
      <c r="F61" s="25">
        <f>C61*E61</f>
        <v/>
      </c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  <c r="AA61" s="18" t="n"/>
      <c r="AB61" s="18" t="n"/>
      <c r="AC61" s="18" t="n"/>
      <c r="AD61" s="18" t="n"/>
      <c r="AE61" s="18" t="n"/>
      <c r="AF61" s="18" t="n"/>
      <c r="AG61" s="18" t="n"/>
      <c r="AH61" s="18" t="n"/>
      <c r="AI61" s="18" t="n"/>
      <c r="AJ61" s="18" t="n"/>
      <c r="AK61" s="18" t="n"/>
      <c r="AL61" s="19">
        <f>SUM(G61:AK61)</f>
        <v/>
      </c>
      <c r="AM61" s="20">
        <f>SUM(C61,AL61)</f>
        <v/>
      </c>
      <c r="AN61" s="21">
        <f>E61*AM61</f>
        <v/>
      </c>
    </row>
    <row r="62" ht="25.05" customHeight="1">
      <c r="A62" s="14" t="n">
        <v>24364</v>
      </c>
      <c r="B62" s="14" t="inlineStr">
        <is>
          <t>VINO RDO BARBADILLO 75 CL</t>
        </is>
      </c>
      <c r="C62" s="15" t="n">
        <v>0</v>
      </c>
      <c r="D62" s="16" t="inlineStr">
        <is>
          <t>BOTELLA</t>
        </is>
      </c>
      <c r="E62" s="17" t="n">
        <v>3.028</v>
      </c>
      <c r="F62" s="25">
        <f>C62*E62</f>
        <v/>
      </c>
      <c r="G62" s="18" t="n"/>
      <c r="H62" s="18" t="n"/>
      <c r="I62" s="18" t="n"/>
      <c r="J62" s="18" t="n"/>
      <c r="K62" s="18" t="n"/>
      <c r="L62" s="18" t="n"/>
      <c r="M62" s="18" t="n"/>
      <c r="N62" s="18" t="n"/>
      <c r="O62" s="18" t="n"/>
      <c r="P62" s="18" t="n"/>
      <c r="Q62" s="18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  <c r="AA62" s="18" t="n"/>
      <c r="AB62" s="18" t="n"/>
      <c r="AC62" s="18" t="n"/>
      <c r="AD62" s="18" t="n"/>
      <c r="AE62" s="18" t="n"/>
      <c r="AF62" s="18" t="n"/>
      <c r="AG62" s="18" t="n"/>
      <c r="AH62" s="18" t="n"/>
      <c r="AI62" s="18" t="n"/>
      <c r="AJ62" s="18" t="n"/>
      <c r="AK62" s="18" t="n"/>
      <c r="AL62" s="19">
        <f>SUM(G62:AK62)</f>
        <v/>
      </c>
      <c r="AM62" s="20">
        <f>SUM(C62,AL62)</f>
        <v/>
      </c>
      <c r="AN62" s="21">
        <f>E62*AM62</f>
        <v/>
      </c>
    </row>
    <row r="63" ht="25.05" customHeight="1">
      <c r="A63" s="14" t="n">
        <v>15560</v>
      </c>
      <c r="B63" s="14" t="inlineStr">
        <is>
          <t>VINO RDO BICICLETAS Y PECES 75 CL</t>
        </is>
      </c>
      <c r="C63" s="15" t="n">
        <v>0</v>
      </c>
      <c r="D63" s="16" t="inlineStr">
        <is>
          <t>BOTELLA</t>
        </is>
      </c>
      <c r="E63" s="17" t="n">
        <v>4.52</v>
      </c>
      <c r="F63" s="25">
        <f>C63*E63</f>
        <v/>
      </c>
      <c r="G63" s="18" t="n"/>
      <c r="H63" s="18" t="n"/>
      <c r="I63" s="18" t="n"/>
      <c r="J63" s="18" t="n"/>
      <c r="K63" s="18" t="n"/>
      <c r="L63" s="18" t="n"/>
      <c r="M63" s="18" t="n"/>
      <c r="N63" s="18" t="n"/>
      <c r="O63" s="18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  <c r="AA63" s="18" t="n"/>
      <c r="AB63" s="18" t="n"/>
      <c r="AC63" s="18" t="n"/>
      <c r="AD63" s="18" t="n"/>
      <c r="AE63" s="18" t="n"/>
      <c r="AF63" s="18" t="n"/>
      <c r="AG63" s="18" t="n"/>
      <c r="AH63" s="18" t="n"/>
      <c r="AI63" s="18" t="n"/>
      <c r="AJ63" s="18" t="n"/>
      <c r="AK63" s="18" t="n"/>
      <c r="AL63" s="19">
        <f>SUM(G63:AK63)</f>
        <v/>
      </c>
      <c r="AM63" s="20">
        <f>SUM(C63,AL63)</f>
        <v/>
      </c>
      <c r="AN63" s="21">
        <f>E63*AM63</f>
        <v/>
      </c>
    </row>
    <row r="64" ht="25.05" customHeight="1">
      <c r="A64" s="14" t="n">
        <v>14989</v>
      </c>
      <c r="B64" s="14" t="inlineStr">
        <is>
          <t>VINO RDO PARAMUS 75 CL</t>
        </is>
      </c>
      <c r="C64" s="15" t="n">
        <v>0</v>
      </c>
      <c r="D64" s="16" t="inlineStr">
        <is>
          <t>BOTELLA</t>
        </is>
      </c>
      <c r="E64" s="17" t="n">
        <v>1.848992</v>
      </c>
      <c r="F64" s="25">
        <f>C64*E64</f>
        <v/>
      </c>
      <c r="G64" s="18" t="n"/>
      <c r="H64" s="18" t="n"/>
      <c r="I64" s="18" t="n"/>
      <c r="J64" s="18" t="n"/>
      <c r="K64" s="18" t="n"/>
      <c r="L64" s="18" t="n"/>
      <c r="M64" s="18" t="n"/>
      <c r="N64" s="18" t="n"/>
      <c r="O64" s="18" t="n"/>
      <c r="P64" s="18" t="n"/>
      <c r="Q64" s="18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  <c r="AA64" s="18" t="n"/>
      <c r="AB64" s="18" t="n"/>
      <c r="AC64" s="18" t="n"/>
      <c r="AD64" s="18" t="n"/>
      <c r="AE64" s="18" t="n"/>
      <c r="AF64" s="18" t="n"/>
      <c r="AG64" s="18" t="n"/>
      <c r="AH64" s="18" t="n"/>
      <c r="AI64" s="18" t="n"/>
      <c r="AJ64" s="18" t="n"/>
      <c r="AK64" s="18" t="n"/>
      <c r="AL64" s="19">
        <f>SUM(G64:AK64)</f>
        <v/>
      </c>
      <c r="AM64" s="20">
        <f>SUM(C64,AL64)</f>
        <v/>
      </c>
      <c r="AN64" s="21">
        <f>E64*AM64</f>
        <v/>
      </c>
    </row>
    <row r="65" ht="25.05" customHeight="1">
      <c r="A65" s="14" t="n">
        <v>15888</v>
      </c>
      <c r="B65" s="14" t="inlineStr">
        <is>
          <t>VINO RDO RAMON BILBAO 75 CL</t>
        </is>
      </c>
      <c r="C65" s="15" t="n">
        <v>0</v>
      </c>
      <c r="D65" s="16" t="inlineStr">
        <is>
          <t>BOTELLA</t>
        </is>
      </c>
      <c r="E65" s="17" t="n">
        <v>5.1</v>
      </c>
      <c r="F65" s="25">
        <f>C65*E65</f>
        <v/>
      </c>
      <c r="G65" s="18" t="n"/>
      <c r="H65" s="18" t="n"/>
      <c r="I65" s="18" t="n"/>
      <c r="J65" s="18" t="n"/>
      <c r="K65" s="18" t="n"/>
      <c r="L65" s="18" t="n"/>
      <c r="M65" s="18" t="n"/>
      <c r="N65" s="18" t="n"/>
      <c r="O65" s="18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  <c r="AA65" s="18" t="n"/>
      <c r="AB65" s="18" t="n"/>
      <c r="AC65" s="18" t="n"/>
      <c r="AD65" s="18" t="n"/>
      <c r="AE65" s="18" t="n"/>
      <c r="AF65" s="18" t="n"/>
      <c r="AG65" s="18" t="n"/>
      <c r="AH65" s="18" t="n"/>
      <c r="AI65" s="18" t="n"/>
      <c r="AJ65" s="18" t="n"/>
      <c r="AK65" s="18" t="n"/>
      <c r="AL65" s="19">
        <f>SUM(G65:AK65)</f>
        <v/>
      </c>
      <c r="AM65" s="20">
        <f>SUM(C65,AL65)</f>
        <v/>
      </c>
      <c r="AN65" s="21">
        <f>E65*AM65</f>
        <v/>
      </c>
    </row>
    <row r="66" ht="25.05" customHeight="1">
      <c r="A66" s="14" t="n">
        <v>15595</v>
      </c>
      <c r="B66" s="14" t="inlineStr">
        <is>
          <t>VINO TTO CARPATHIA 75 CL</t>
        </is>
      </c>
      <c r="C66" s="15" t="n">
        <v>0</v>
      </c>
      <c r="D66" s="16" t="inlineStr">
        <is>
          <t>BOTELLA</t>
        </is>
      </c>
      <c r="E66" s="17" t="n">
        <v>2.054</v>
      </c>
      <c r="F66" s="25">
        <f>C66*E66</f>
        <v/>
      </c>
      <c r="G66" s="18" t="n"/>
      <c r="H66" s="18" t="n"/>
      <c r="I66" s="18" t="n"/>
      <c r="J66" s="18" t="n"/>
      <c r="K66" s="18" t="n"/>
      <c r="L66" s="18" t="n"/>
      <c r="M66" s="18" t="n"/>
      <c r="N66" s="18" t="n"/>
      <c r="O66" s="18" t="n"/>
      <c r="P66" s="18" t="n"/>
      <c r="Q66" s="18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  <c r="AA66" s="18" t="n"/>
      <c r="AB66" s="18" t="n"/>
      <c r="AC66" s="18" t="n"/>
      <c r="AD66" s="18" t="n"/>
      <c r="AE66" s="18" t="n"/>
      <c r="AF66" s="18" t="n"/>
      <c r="AG66" s="18" t="n"/>
      <c r="AH66" s="18" t="n"/>
      <c r="AI66" s="18" t="n"/>
      <c r="AJ66" s="18" t="n"/>
      <c r="AK66" s="18" t="n"/>
      <c r="AL66" s="19">
        <f>SUM(G66:AK66)</f>
        <v/>
      </c>
      <c r="AM66" s="20">
        <f>SUM(C66,AL66)</f>
        <v/>
      </c>
      <c r="AN66" s="21">
        <f>E66*AM66</f>
        <v/>
      </c>
    </row>
    <row r="67" ht="25.05" customHeight="1">
      <c r="A67" s="14" t="n">
        <v>14505</v>
      </c>
      <c r="B67" s="14" t="inlineStr">
        <is>
          <t>VINO TTO CELESTE ROBLE 75 CL</t>
        </is>
      </c>
      <c r="C67" s="15" t="n">
        <v>0</v>
      </c>
      <c r="D67" s="16" t="inlineStr">
        <is>
          <t>BOTELLA</t>
        </is>
      </c>
      <c r="E67" s="17" t="n">
        <v>4.75</v>
      </c>
      <c r="F67" s="25">
        <f>C67*E67</f>
        <v/>
      </c>
      <c r="G67" s="18" t="n"/>
      <c r="H67" s="18" t="n"/>
      <c r="I67" s="18" t="n"/>
      <c r="J67" s="18" t="n"/>
      <c r="K67" s="18" t="n"/>
      <c r="L67" s="18" t="n"/>
      <c r="M67" s="18" t="n"/>
      <c r="N67" s="18" t="n"/>
      <c r="O67" s="18" t="n"/>
      <c r="P67" s="18" t="n"/>
      <c r="Q67" s="18" t="n"/>
      <c r="R67" s="18" t="n"/>
      <c r="S67" s="18" t="n"/>
      <c r="T67" s="18" t="n"/>
      <c r="U67" s="18" t="n"/>
      <c r="V67" s="18" t="n"/>
      <c r="W67" s="18" t="n"/>
      <c r="X67" s="18" t="n"/>
      <c r="Y67" s="18" t="n"/>
      <c r="Z67" s="18" t="n"/>
      <c r="AA67" s="18" t="n"/>
      <c r="AB67" s="18" t="n"/>
      <c r="AC67" s="18" t="n"/>
      <c r="AD67" s="18" t="n"/>
      <c r="AE67" s="18" t="n"/>
      <c r="AF67" s="18" t="n"/>
      <c r="AG67" s="18" t="n"/>
      <c r="AH67" s="18" t="n"/>
      <c r="AI67" s="18" t="n"/>
      <c r="AJ67" s="18" t="n"/>
      <c r="AK67" s="18" t="n"/>
      <c r="AL67" s="19">
        <f>SUM(G67:AK67)</f>
        <v/>
      </c>
      <c r="AM67" s="20">
        <f>SUM(C67,AL67)</f>
        <v/>
      </c>
      <c r="AN67" s="21">
        <f>E67*AM67</f>
        <v/>
      </c>
    </row>
    <row r="68" ht="25.05" customHeight="1">
      <c r="A68" s="14" t="n">
        <v>3105</v>
      </c>
      <c r="B68" s="14" t="inlineStr">
        <is>
          <t>VINO TTO IRACHE 75 CL</t>
        </is>
      </c>
      <c r="C68" s="15" t="n">
        <v>0</v>
      </c>
      <c r="D68" s="16" t="inlineStr">
        <is>
          <t>BOTELLA</t>
        </is>
      </c>
      <c r="E68" s="17" t="n">
        <v>2.306432</v>
      </c>
      <c r="F68" s="25">
        <f>C68*E68</f>
        <v/>
      </c>
      <c r="G68" s="18" t="n"/>
      <c r="H68" s="18" t="n"/>
      <c r="I68" s="18" t="n"/>
      <c r="J68" s="18" t="n"/>
      <c r="K68" s="18" t="n"/>
      <c r="L68" s="18" t="n"/>
      <c r="M68" s="18" t="n"/>
      <c r="N68" s="18" t="n"/>
      <c r="O68" s="18" t="n"/>
      <c r="P68" s="18" t="n"/>
      <c r="Q68" s="18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  <c r="AA68" s="18" t="n"/>
      <c r="AB68" s="18" t="n"/>
      <c r="AC68" s="18" t="n"/>
      <c r="AD68" s="18" t="n"/>
      <c r="AE68" s="18" t="n"/>
      <c r="AF68" s="18" t="n"/>
      <c r="AG68" s="18" t="n"/>
      <c r="AH68" s="18" t="n"/>
      <c r="AI68" s="18" t="n"/>
      <c r="AJ68" s="18" t="n"/>
      <c r="AK68" s="18" t="n"/>
      <c r="AL68" s="19">
        <f>SUM(G68:AK68)</f>
        <v/>
      </c>
      <c r="AM68" s="20">
        <f>SUM(C68,AL68)</f>
        <v/>
      </c>
      <c r="AN68" s="21">
        <f>E68*AM68</f>
        <v/>
      </c>
    </row>
    <row r="69" ht="25.05" customHeight="1">
      <c r="A69" s="14" t="n">
        <v>17084</v>
      </c>
      <c r="B69" s="14" t="inlineStr">
        <is>
          <t>VINO TTO ORUBE CRI 75 CL</t>
        </is>
      </c>
      <c r="C69" s="15" t="n">
        <v>0</v>
      </c>
      <c r="D69" s="16" t="inlineStr">
        <is>
          <t>BOTELLA</t>
        </is>
      </c>
      <c r="E69" s="17" t="n">
        <v>4.688405</v>
      </c>
      <c r="F69" s="25">
        <f>C69*E69</f>
        <v/>
      </c>
      <c r="G69" s="18" t="n"/>
      <c r="H69" s="18" t="n"/>
      <c r="I69" s="18" t="n"/>
      <c r="J69" s="18" t="n"/>
      <c r="K69" s="18" t="n"/>
      <c r="L69" s="18" t="n"/>
      <c r="M69" s="18" t="n"/>
      <c r="N69" s="18" t="n"/>
      <c r="O69" s="18" t="n"/>
      <c r="P69" s="18" t="n"/>
      <c r="Q69" s="18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  <c r="AA69" s="18" t="n"/>
      <c r="AB69" s="18" t="n"/>
      <c r="AC69" s="18" t="n"/>
      <c r="AD69" s="18" t="n"/>
      <c r="AE69" s="18" t="n"/>
      <c r="AF69" s="18" t="n"/>
      <c r="AG69" s="18" t="n"/>
      <c r="AH69" s="18" t="n"/>
      <c r="AI69" s="18" t="n"/>
      <c r="AJ69" s="18" t="n"/>
      <c r="AK69" s="18" t="n"/>
      <c r="AL69" s="19">
        <f>SUM(G69:AK69)</f>
        <v/>
      </c>
      <c r="AM69" s="20">
        <f>SUM(C69,AL69)</f>
        <v/>
      </c>
      <c r="AN69" s="21">
        <f>E69*AM69</f>
        <v/>
      </c>
    </row>
    <row r="70" ht="25.05" customHeight="1">
      <c r="A70" s="14" t="n">
        <v>14988</v>
      </c>
      <c r="B70" s="14" t="inlineStr">
        <is>
          <t>VINO TTO PARAMUS 75 CL</t>
        </is>
      </c>
      <c r="C70" s="15" t="n">
        <v>0</v>
      </c>
      <c r="D70" s="16" t="inlineStr">
        <is>
          <t>BOTELLA</t>
        </is>
      </c>
      <c r="E70" s="17" t="n">
        <v>1.849512</v>
      </c>
      <c r="F70" s="25">
        <f>C70*E70</f>
        <v/>
      </c>
      <c r="G70" s="18" t="n"/>
      <c r="H70" s="18" t="n"/>
      <c r="I70" s="18" t="n"/>
      <c r="J70" s="18" t="n"/>
      <c r="K70" s="18" t="n"/>
      <c r="L70" s="18" t="n"/>
      <c r="M70" s="18" t="n"/>
      <c r="N70" s="18" t="n"/>
      <c r="O70" s="18" t="n"/>
      <c r="P70" s="18" t="n"/>
      <c r="Q70" s="18" t="n"/>
      <c r="R70" s="18" t="n"/>
      <c r="S70" s="18" t="n"/>
      <c r="T70" s="18" t="n"/>
      <c r="U70" s="18" t="n"/>
      <c r="V70" s="18" t="n"/>
      <c r="W70" s="18" t="n"/>
      <c r="X70" s="18" t="n"/>
      <c r="Y70" s="18" t="n"/>
      <c r="Z70" s="18" t="n"/>
      <c r="AA70" s="18" t="n"/>
      <c r="AB70" s="18" t="n"/>
      <c r="AC70" s="18" t="n"/>
      <c r="AD70" s="18" t="n"/>
      <c r="AE70" s="18" t="n"/>
      <c r="AF70" s="18" t="n"/>
      <c r="AG70" s="18" t="n"/>
      <c r="AH70" s="18" t="n"/>
      <c r="AI70" s="18" t="n"/>
      <c r="AJ70" s="18" t="n"/>
      <c r="AK70" s="18" t="n"/>
      <c r="AL70" s="19">
        <f>SUM(G70:AK70)</f>
        <v/>
      </c>
      <c r="AM70" s="20">
        <f>SUM(C70,AL70)</f>
        <v/>
      </c>
      <c r="AN70" s="21">
        <f>E70*AM70</f>
        <v/>
      </c>
    </row>
    <row r="71" ht="25.05" customHeight="1">
      <c r="A71" s="14" t="n">
        <v>4286</v>
      </c>
      <c r="B71" s="14" t="inlineStr">
        <is>
          <t>VINO TTO PESQUERA CRI 75 CL</t>
        </is>
      </c>
      <c r="C71" s="15" t="n">
        <v>0</v>
      </c>
      <c r="D71" s="16" t="inlineStr">
        <is>
          <t>BOTELLA</t>
        </is>
      </c>
      <c r="E71" s="17" t="n">
        <v>14.6</v>
      </c>
      <c r="F71" s="25">
        <f>C71*E71</f>
        <v/>
      </c>
      <c r="G71" s="18" t="n"/>
      <c r="H71" s="18" t="n"/>
      <c r="I71" s="18" t="n"/>
      <c r="J71" s="18" t="n"/>
      <c r="K71" s="18" t="n"/>
      <c r="L71" s="18" t="n"/>
      <c r="M71" s="18" t="n"/>
      <c r="N71" s="18" t="n"/>
      <c r="O71" s="18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Y71" s="18" t="n"/>
      <c r="Z71" s="18" t="n"/>
      <c r="AA71" s="18" t="n"/>
      <c r="AB71" s="18" t="n"/>
      <c r="AC71" s="18" t="n"/>
      <c r="AD71" s="18" t="n"/>
      <c r="AE71" s="18" t="n"/>
      <c r="AF71" s="18" t="n"/>
      <c r="AG71" s="18" t="n"/>
      <c r="AH71" s="18" t="n"/>
      <c r="AI71" s="18" t="n"/>
      <c r="AJ71" s="18" t="n"/>
      <c r="AK71" s="18" t="n"/>
      <c r="AL71" s="19">
        <f>SUM(G71:AK71)</f>
        <v/>
      </c>
      <c r="AM71" s="20">
        <f>SUM(C71,AL71)</f>
        <v/>
      </c>
      <c r="AN71" s="21">
        <f>E71*AM71</f>
        <v/>
      </c>
    </row>
    <row r="72" ht="25.05" customHeight="1">
      <c r="A72" s="14" t="n">
        <v>24655</v>
      </c>
      <c r="B72" s="14" t="inlineStr">
        <is>
          <t>VINO TTO RAMON BILBAO VIÑEDOS DE ALTURA 75 CL</t>
        </is>
      </c>
      <c r="C72" s="15" t="n">
        <v>0</v>
      </c>
      <c r="D72" s="16" t="inlineStr">
        <is>
          <t>BOTELLA</t>
        </is>
      </c>
      <c r="E72" s="17" t="n">
        <v>11.12</v>
      </c>
      <c r="F72" s="25">
        <f>C72*E72</f>
        <v/>
      </c>
      <c r="G72" s="18" t="n"/>
      <c r="H72" s="18" t="n"/>
      <c r="I72" s="18" t="n"/>
      <c r="J72" s="18" t="n"/>
      <c r="K72" s="18" t="n"/>
      <c r="L72" s="18" t="n"/>
      <c r="M72" s="18" t="n"/>
      <c r="N72" s="18" t="n"/>
      <c r="O72" s="18" t="n"/>
      <c r="P72" s="18" t="n"/>
      <c r="Q72" s="18" t="n"/>
      <c r="R72" s="18" t="n"/>
      <c r="S72" s="18" t="n"/>
      <c r="T72" s="18" t="n"/>
      <c r="U72" s="18" t="n"/>
      <c r="V72" s="18" t="n"/>
      <c r="W72" s="18" t="n"/>
      <c r="X72" s="18" t="n"/>
      <c r="Y72" s="18" t="n"/>
      <c r="Z72" s="18" t="n"/>
      <c r="AA72" s="18" t="n"/>
      <c r="AB72" s="18" t="n"/>
      <c r="AC72" s="18" t="n"/>
      <c r="AD72" s="18" t="n"/>
      <c r="AE72" s="18" t="n"/>
      <c r="AF72" s="18" t="n"/>
      <c r="AG72" s="18" t="n"/>
      <c r="AH72" s="18" t="n"/>
      <c r="AI72" s="18" t="n"/>
      <c r="AJ72" s="18" t="n"/>
      <c r="AK72" s="18" t="n"/>
      <c r="AL72" s="19">
        <f>SUM(G72:AK72)</f>
        <v/>
      </c>
      <c r="AM72" s="20">
        <f>SUM(C72,AL72)</f>
        <v/>
      </c>
      <c r="AN72" s="21">
        <f>E72*AM72</f>
        <v/>
      </c>
    </row>
    <row r="73" ht="25.05" customHeight="1">
      <c r="A73" s="14" t="n">
        <v>6927</v>
      </c>
      <c r="B73" s="14" t="inlineStr">
        <is>
          <t>VINO TTO VALDUBON ROBLE 75 CL</t>
        </is>
      </c>
      <c r="C73" s="15" t="n">
        <v>0</v>
      </c>
      <c r="D73" s="16" t="inlineStr">
        <is>
          <t>BOTELLA</t>
        </is>
      </c>
      <c r="E73" s="17" t="n">
        <v>5.028661</v>
      </c>
      <c r="F73" s="25">
        <f>C73*E73</f>
        <v/>
      </c>
      <c r="G73" s="18" t="n"/>
      <c r="H73" s="18" t="n"/>
      <c r="I73" s="18" t="n"/>
      <c r="J73" s="18" t="n"/>
      <c r="K73" s="18" t="n"/>
      <c r="L73" s="18" t="n"/>
      <c r="M73" s="18" t="n"/>
      <c r="N73" s="18" t="n"/>
      <c r="O73" s="18" t="n"/>
      <c r="P73" s="18" t="n"/>
      <c r="Q73" s="18" t="n"/>
      <c r="R73" s="18" t="n"/>
      <c r="S73" s="18" t="n"/>
      <c r="T73" s="18" t="n"/>
      <c r="U73" s="18" t="n"/>
      <c r="V73" s="18" t="n"/>
      <c r="W73" s="18" t="n"/>
      <c r="X73" s="18" t="n"/>
      <c r="Y73" s="18" t="n"/>
      <c r="Z73" s="18" t="n"/>
      <c r="AA73" s="18" t="n"/>
      <c r="AB73" s="18" t="n"/>
      <c r="AC73" s="18" t="n"/>
      <c r="AD73" s="18" t="n"/>
      <c r="AE73" s="18" t="n"/>
      <c r="AF73" s="18" t="n"/>
      <c r="AG73" s="18" t="n"/>
      <c r="AH73" s="18" t="n"/>
      <c r="AI73" s="18" t="n"/>
      <c r="AJ73" s="18" t="n"/>
      <c r="AK73" s="18" t="n"/>
      <c r="AL73" s="19">
        <f>SUM(G73:AK73)</f>
        <v/>
      </c>
      <c r="AM73" s="20">
        <f>SUM(C73,AL73)</f>
        <v/>
      </c>
      <c r="AN73" s="21">
        <f>E73*AM73</f>
        <v/>
      </c>
    </row>
    <row r="74" ht="25.05" customHeight="1">
      <c r="A74" s="14" t="n">
        <v>19084</v>
      </c>
      <c r="B74" s="14" t="inlineStr">
        <is>
          <t>VINO TTO VIÑA MAGNA CRI 75 CL</t>
        </is>
      </c>
      <c r="C74" s="15" t="n">
        <v>0</v>
      </c>
      <c r="D74" s="16" t="inlineStr">
        <is>
          <t>BOTELLA</t>
        </is>
      </c>
      <c r="E74" s="17" t="n">
        <v>12.9</v>
      </c>
      <c r="F74" s="25">
        <f>C74*E74</f>
        <v/>
      </c>
      <c r="G74" s="18" t="n"/>
      <c r="H74" s="18" t="n"/>
      <c r="I74" s="18" t="n"/>
      <c r="J74" s="18" t="n"/>
      <c r="K74" s="18" t="n"/>
      <c r="L74" s="18" t="n"/>
      <c r="M74" s="18" t="n"/>
      <c r="N74" s="18" t="n"/>
      <c r="O74" s="18" t="n"/>
      <c r="P74" s="18" t="n"/>
      <c r="Q74" s="18" t="n"/>
      <c r="R74" s="18" t="n"/>
      <c r="S74" s="18" t="n"/>
      <c r="T74" s="18" t="n"/>
      <c r="U74" s="18" t="n"/>
      <c r="V74" s="18" t="n"/>
      <c r="W74" s="18" t="n"/>
      <c r="X74" s="18" t="n"/>
      <c r="Y74" s="18" t="n"/>
      <c r="Z74" s="18" t="n"/>
      <c r="AA74" s="18" t="n"/>
      <c r="AB74" s="18" t="n"/>
      <c r="AC74" s="18" t="n"/>
      <c r="AD74" s="18" t="n"/>
      <c r="AE74" s="18" t="n"/>
      <c r="AF74" s="18" t="n"/>
      <c r="AG74" s="18" t="n"/>
      <c r="AH74" s="18" t="n"/>
      <c r="AI74" s="18" t="n"/>
      <c r="AJ74" s="18" t="n"/>
      <c r="AK74" s="18" t="n"/>
      <c r="AL74" s="19">
        <f>SUM(G74:AK74)</f>
        <v/>
      </c>
      <c r="AM74" s="20">
        <f>SUM(C74,AL74)</f>
        <v/>
      </c>
      <c r="AN74" s="21">
        <f>E74*AM74</f>
        <v/>
      </c>
    </row>
    <row r="75" ht="25.05" customHeight="1">
      <c r="A75" s="36" t="inlineStr">
        <is>
          <t>28924</t>
        </is>
      </c>
      <c r="B75" s="14" t="inlineStr">
        <is>
          <t>HEL NESTLE BOMBON NUII PISTACHO</t>
        </is>
      </c>
      <c r="C75" s="15" t="n">
        <v>0</v>
      </c>
      <c r="D75" s="16" t="inlineStr">
        <is>
          <t>UNIDAD</t>
        </is>
      </c>
      <c r="E75" s="17" t="n">
        <v>1.49</v>
      </c>
      <c r="F75" s="25">
        <f>C75*E75</f>
        <v/>
      </c>
      <c r="G75" s="18" t="n"/>
      <c r="H75" s="18" t="n"/>
      <c r="I75" s="18" t="n"/>
      <c r="J75" s="18" t="n"/>
      <c r="K75" s="18" t="n"/>
      <c r="L75" s="18" t="n"/>
      <c r="M75" s="18" t="n"/>
      <c r="N75" s="18" t="n"/>
      <c r="O75" s="18" t="n"/>
      <c r="P75" s="18" t="n"/>
      <c r="Q75" s="18" t="n"/>
      <c r="R75" s="18" t="n"/>
      <c r="S75" s="18" t="n"/>
      <c r="T75" s="18" t="n"/>
      <c r="U75" s="18" t="n"/>
      <c r="V75" s="18" t="n"/>
      <c r="W75" s="18" t="n"/>
      <c r="X75" s="18" t="n"/>
      <c r="Y75" s="18" t="n"/>
      <c r="Z75" s="18" t="n"/>
      <c r="AA75" s="18" t="n"/>
      <c r="AB75" s="18" t="n"/>
      <c r="AC75" s="18" t="n"/>
      <c r="AD75" s="18" t="n"/>
      <c r="AE75" s="18" t="n"/>
      <c r="AF75" s="18" t="n"/>
      <c r="AG75" s="18" t="n"/>
      <c r="AH75" s="18" t="n"/>
      <c r="AI75" s="18" t="n"/>
      <c r="AJ75" s="18" t="n"/>
      <c r="AK75" s="18" t="n"/>
      <c r="AL75" s="19">
        <f>SUM(G75:AK75)</f>
        <v/>
      </c>
      <c r="AM75" s="20">
        <f>SUM(C75,AL75)</f>
        <v/>
      </c>
      <c r="AN75" s="21">
        <f>E75*AM75</f>
        <v/>
      </c>
    </row>
    <row r="76" ht="25.05" customHeight="1">
      <c r="A76" s="36" t="inlineStr">
        <is>
          <t>24683</t>
        </is>
      </c>
      <c r="B76" s="14" t="inlineStr">
        <is>
          <t>BIB LECHE SEMIDESNATADA 10 LT</t>
        </is>
      </c>
      <c r="C76" s="15" t="n">
        <v>0</v>
      </c>
      <c r="D76" s="16" t="inlineStr">
        <is>
          <t>LITRO</t>
        </is>
      </c>
      <c r="E76" s="17" t="n">
        <v>0.9399999999999999</v>
      </c>
      <c r="F76" s="25">
        <f>C76*E76</f>
        <v/>
      </c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  <c r="AD76" s="18" t="n"/>
      <c r="AE76" s="18" t="n"/>
      <c r="AF76" s="18" t="n"/>
      <c r="AG76" s="18" t="n"/>
      <c r="AH76" s="18" t="n"/>
      <c r="AI76" s="18" t="n"/>
      <c r="AJ76" s="18" t="n"/>
      <c r="AK76" s="18" t="n"/>
      <c r="AL76" s="19">
        <f>SUM(G76:AK76)</f>
        <v/>
      </c>
      <c r="AM76" s="20">
        <f>SUM(C76,AL76)</f>
        <v/>
      </c>
      <c r="AN76" s="21">
        <f>E76*AM76</f>
        <v/>
      </c>
    </row>
    <row r="77" ht="25.05" customHeight="1">
      <c r="A77" s="36" t="inlineStr">
        <is>
          <t>503</t>
        </is>
      </c>
      <c r="B77" s="14" t="inlineStr">
        <is>
          <t>CAFE GRANO BLEND PROFONDO/ELEGANTE 1 KG</t>
        </is>
      </c>
      <c r="C77" s="15" t="n">
        <v>0</v>
      </c>
      <c r="D77" s="16" t="inlineStr">
        <is>
          <t>KILO</t>
        </is>
      </c>
      <c r="E77" s="17" t="n">
        <v>12.67</v>
      </c>
      <c r="F77" s="25">
        <f>C77*E77</f>
        <v/>
      </c>
      <c r="G77" s="18" t="n"/>
      <c r="H77" s="18" t="n"/>
      <c r="I77" s="18" t="n"/>
      <c r="J77" s="18" t="n"/>
      <c r="K77" s="18" t="n"/>
      <c r="L77" s="18" t="n"/>
      <c r="M77" s="18" t="n"/>
      <c r="N77" s="18" t="n"/>
      <c r="O77" s="18" t="n"/>
      <c r="P77" s="18" t="n"/>
      <c r="Q77" s="18" t="n"/>
      <c r="R77" s="18" t="n"/>
      <c r="S77" s="18" t="n"/>
      <c r="T77" s="18" t="n"/>
      <c r="U77" s="18" t="n"/>
      <c r="V77" s="18" t="n"/>
      <c r="W77" s="18" t="n"/>
      <c r="X77" s="18" t="n"/>
      <c r="Y77" s="18" t="n"/>
      <c r="Z77" s="18" t="n"/>
      <c r="AA77" s="18" t="n"/>
      <c r="AB77" s="18" t="n"/>
      <c r="AC77" s="18" t="n"/>
      <c r="AD77" s="18" t="n"/>
      <c r="AE77" s="18" t="n"/>
      <c r="AF77" s="18" t="n"/>
      <c r="AG77" s="18" t="n"/>
      <c r="AH77" s="18" t="n"/>
      <c r="AI77" s="18" t="n"/>
      <c r="AJ77" s="18" t="n"/>
      <c r="AK77" s="18" t="n"/>
      <c r="AL77" s="19">
        <f>SUM(G77:AK77)</f>
        <v/>
      </c>
      <c r="AM77" s="20">
        <f>SUM(C77,AL77)</f>
        <v/>
      </c>
      <c r="AN77" s="21">
        <f>E77*AM77</f>
        <v/>
      </c>
    </row>
    <row r="78" ht="25.05" customHeight="1">
      <c r="A78" s="36" t="inlineStr">
        <is>
          <t>934021</t>
        </is>
      </c>
      <c r="B78" s="14" t="inlineStr">
        <is>
          <t>VINO BCO NUBORI VERDEJO 75 CL</t>
        </is>
      </c>
      <c r="C78" s="15" t="n">
        <v>0</v>
      </c>
      <c r="D78" s="16" t="inlineStr">
        <is>
          <t>BOTELLA</t>
        </is>
      </c>
      <c r="E78" s="17" t="n">
        <v>4.54</v>
      </c>
      <c r="F78" s="25">
        <f>C78*E78</f>
        <v/>
      </c>
      <c r="G78" s="18" t="n"/>
      <c r="H78" s="18" t="n"/>
      <c r="I78" s="18" t="n"/>
      <c r="J78" s="18" t="n"/>
      <c r="K78" s="18" t="n"/>
      <c r="L78" s="18" t="n"/>
      <c r="M78" s="18" t="n"/>
      <c r="N78" s="18" t="n"/>
      <c r="O78" s="18" t="n"/>
      <c r="P78" s="18" t="n"/>
      <c r="Q78" s="18" t="n"/>
      <c r="R78" s="18" t="n"/>
      <c r="S78" s="18" t="n"/>
      <c r="T78" s="18" t="n"/>
      <c r="U78" s="18" t="n"/>
      <c r="V78" s="18" t="n"/>
      <c r="W78" s="18" t="n"/>
      <c r="X78" s="18" t="n"/>
      <c r="Y78" s="18" t="n"/>
      <c r="Z78" s="18" t="n"/>
      <c r="AA78" s="18" t="n"/>
      <c r="AB78" s="18" t="n"/>
      <c r="AC78" s="18" t="n"/>
      <c r="AD78" s="18" t="n"/>
      <c r="AE78" s="18" t="n"/>
      <c r="AF78" s="18" t="n"/>
      <c r="AG78" s="18" t="n"/>
      <c r="AH78" s="18" t="n"/>
      <c r="AI78" s="18" t="n"/>
      <c r="AJ78" s="18" t="n"/>
      <c r="AK78" s="18" t="n"/>
      <c r="AL78" s="19">
        <f>SUM(G78:AK78)</f>
        <v/>
      </c>
      <c r="AM78" s="20">
        <f>SUM(C78,AL78)</f>
        <v/>
      </c>
      <c r="AN78" s="21">
        <f>E78*AM78</f>
        <v/>
      </c>
    </row>
    <row r="79" ht="25.05" customHeight="1">
      <c r="A79" s="36" t="inlineStr">
        <is>
          <t>8983</t>
        </is>
      </c>
      <c r="B79" s="36" t="inlineStr">
        <is>
          <t>CAVA CASTELL D'ORDAL BRUT 75 CL</t>
        </is>
      </c>
      <c r="C79" s="15" t="n">
        <v>0</v>
      </c>
      <c r="D79" s="37" t="inlineStr">
        <is>
          <t>BOTELLA</t>
        </is>
      </c>
      <c r="E79" s="17" t="n">
        <v>1.9</v>
      </c>
      <c r="F79" s="25">
        <f>C79*E79</f>
        <v/>
      </c>
      <c r="G79" s="18" t="n"/>
      <c r="H79" s="18" t="n"/>
      <c r="I79" s="18" t="n"/>
      <c r="J79" s="18" t="n"/>
      <c r="K79" s="18" t="n"/>
      <c r="L79" s="18" t="n"/>
      <c r="M79" s="18" t="n"/>
      <c r="N79" s="18" t="n"/>
      <c r="O79" s="18" t="n"/>
      <c r="P79" s="18" t="n"/>
      <c r="Q79" s="18" t="n"/>
      <c r="R79" s="18" t="n"/>
      <c r="S79" s="18" t="n"/>
      <c r="T79" s="18" t="n"/>
      <c r="U79" s="18" t="n"/>
      <c r="V79" s="18" t="n"/>
      <c r="W79" s="18" t="n"/>
      <c r="X79" s="18" t="n"/>
      <c r="Y79" s="18" t="n"/>
      <c r="Z79" s="18" t="n"/>
      <c r="AA79" s="18" t="n"/>
      <c r="AB79" s="18" t="n"/>
      <c r="AC79" s="18" t="n"/>
      <c r="AD79" s="18" t="n"/>
      <c r="AE79" s="18" t="n"/>
      <c r="AF79" s="18" t="n"/>
      <c r="AG79" s="18" t="n"/>
      <c r="AH79" s="18" t="n"/>
      <c r="AI79" s="18" t="n"/>
      <c r="AJ79" s="18" t="n"/>
      <c r="AK79" s="18" t="n"/>
      <c r="AL79" s="19">
        <f>SUM(G79:AK79)</f>
        <v/>
      </c>
      <c r="AM79" s="20">
        <f>SUM(C79,AL79)</f>
        <v/>
      </c>
      <c r="AN79" s="21">
        <f>E79*AM79</f>
        <v/>
      </c>
    </row>
    <row r="80" ht="25.05" customHeight="1">
      <c r="A80" s="36" t="inlineStr">
        <is>
          <t>28869</t>
        </is>
      </c>
      <c r="B80" s="36" t="inlineStr">
        <is>
          <t>VINO TTO MALPASTOR CRIANZA 75 CL</t>
        </is>
      </c>
      <c r="C80" s="15" t="n">
        <v>0</v>
      </c>
      <c r="D80" s="37" t="inlineStr">
        <is>
          <t>BOTELLA</t>
        </is>
      </c>
      <c r="E80" s="17" t="n">
        <v>4.75</v>
      </c>
      <c r="F80" s="25">
        <f>C80*E80</f>
        <v/>
      </c>
      <c r="G80" s="18" t="n"/>
      <c r="H80" s="18" t="n"/>
      <c r="I80" s="18" t="n"/>
      <c r="J80" s="18" t="n"/>
      <c r="K80" s="18" t="n"/>
      <c r="L80" s="18" t="n"/>
      <c r="M80" s="18" t="n"/>
      <c r="N80" s="18" t="n"/>
      <c r="O80" s="18" t="n"/>
      <c r="P80" s="18" t="n"/>
      <c r="Q80" s="18" t="n"/>
      <c r="R80" s="18" t="n"/>
      <c r="S80" s="18" t="n"/>
      <c r="T80" s="18" t="n"/>
      <c r="U80" s="18" t="n"/>
      <c r="V80" s="18" t="n"/>
      <c r="W80" s="18" t="n"/>
      <c r="X80" s="18" t="n"/>
      <c r="Y80" s="18" t="n"/>
      <c r="Z80" s="18" t="n"/>
      <c r="AA80" s="18" t="n"/>
      <c r="AB80" s="18" t="n"/>
      <c r="AC80" s="18" t="n"/>
      <c r="AD80" s="18" t="n"/>
      <c r="AE80" s="18" t="n"/>
      <c r="AF80" s="18" t="n"/>
      <c r="AG80" s="18" t="n"/>
      <c r="AH80" s="18" t="n"/>
      <c r="AI80" s="18" t="n"/>
      <c r="AJ80" s="18" t="n"/>
      <c r="AK80" s="18" t="n"/>
      <c r="AL80" s="19">
        <f>SUM(G80:AK80)</f>
        <v/>
      </c>
      <c r="AM80" s="20">
        <f>SUM(C80,AL80)</f>
        <v/>
      </c>
      <c r="AN80" s="21">
        <f>E80*AM80</f>
        <v/>
      </c>
    </row>
    <row r="81" ht="25.05" customHeight="1">
      <c r="A81" s="36" t="inlineStr">
        <is>
          <t>4098</t>
        </is>
      </c>
      <c r="B81" s="36" t="inlineStr">
        <is>
          <t>REFRESCO BIB TONICA NORDIC MIST</t>
        </is>
      </c>
      <c r="C81" s="15" t="n">
        <v>0</v>
      </c>
      <c r="D81" s="37" t="inlineStr">
        <is>
          <t>LITRO</t>
        </is>
      </c>
      <c r="E81" s="17" t="n">
        <v>7.68074</v>
      </c>
      <c r="F81" s="25">
        <f>C81*E81</f>
        <v/>
      </c>
      <c r="G81" s="18" t="n"/>
      <c r="H81" s="18" t="n"/>
      <c r="I81" s="18" t="n"/>
      <c r="J81" s="18" t="n"/>
      <c r="K81" s="18" t="n"/>
      <c r="L81" s="18" t="n"/>
      <c r="M81" s="18" t="n"/>
      <c r="N81" s="18" t="n"/>
      <c r="O81" s="18" t="n"/>
      <c r="P81" s="18" t="n"/>
      <c r="Q81" s="18" t="n"/>
      <c r="R81" s="18" t="n"/>
      <c r="S81" s="18" t="n"/>
      <c r="T81" s="18" t="n"/>
      <c r="U81" s="18" t="n"/>
      <c r="V81" s="18" t="n"/>
      <c r="W81" s="18" t="n"/>
      <c r="X81" s="18" t="n"/>
      <c r="Y81" s="18" t="n"/>
      <c r="Z81" s="18" t="n"/>
      <c r="AA81" s="18" t="n"/>
      <c r="AB81" s="18" t="n"/>
      <c r="AC81" s="18" t="n"/>
      <c r="AD81" s="18" t="n"/>
      <c r="AE81" s="18" t="n"/>
      <c r="AF81" s="18" t="n"/>
      <c r="AG81" s="18" t="n"/>
      <c r="AH81" s="18" t="n"/>
      <c r="AI81" s="18" t="n"/>
      <c r="AJ81" s="18" t="n"/>
      <c r="AK81" s="18" t="n"/>
      <c r="AL81" s="19">
        <f>SUM(G81:AK81)</f>
        <v/>
      </c>
      <c r="AM81" s="20">
        <f>SUM(C81,AL81)</f>
        <v/>
      </c>
      <c r="AN81" s="21">
        <f>E81*AM81</f>
        <v/>
      </c>
    </row>
    <row r="82" ht="25.05" customHeight="1">
      <c r="A82" s="36" t="inlineStr">
        <is>
          <t>19982</t>
        </is>
      </c>
      <c r="B82" s="36" t="inlineStr">
        <is>
          <t>SERVILLETA CANGURO S/LOGO 40X40 CM 50 UDS</t>
        </is>
      </c>
      <c r="C82" s="15" t="n">
        <v>0</v>
      </c>
      <c r="D82" s="37" t="inlineStr">
        <is>
          <t>PAQUETE</t>
        </is>
      </c>
      <c r="E82" s="17" t="n">
        <v>5.5134</v>
      </c>
      <c r="F82" s="25">
        <f>C82*E82</f>
        <v/>
      </c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  <c r="AD82" s="18" t="n"/>
      <c r="AE82" s="18" t="n"/>
      <c r="AF82" s="18" t="n"/>
      <c r="AG82" s="18" t="n"/>
      <c r="AH82" s="18" t="n"/>
      <c r="AI82" s="18" t="n"/>
      <c r="AJ82" s="18" t="n"/>
      <c r="AK82" s="18" t="n"/>
      <c r="AL82" s="19">
        <f>SUM(G82:AK82)</f>
        <v/>
      </c>
      <c r="AM82" s="20">
        <f>SUM(C82,AL82)</f>
        <v/>
      </c>
      <c r="AN82" s="21">
        <f>E82*AM82</f>
        <v/>
      </c>
    </row>
    <row r="83" ht="25.05" customHeight="1">
      <c r="A83" s="36" t="inlineStr">
        <is>
          <t>19926</t>
        </is>
      </c>
      <c r="B83" s="36" t="inlineStr">
        <is>
          <t>AGUA CON GAS ALUMINIO MAGMA CABREIROA C/R 50 CL</t>
        </is>
      </c>
      <c r="C83" s="15" t="n">
        <v>0</v>
      </c>
      <c r="D83" s="37" t="inlineStr">
        <is>
          <t>BOTELLA</t>
        </is>
      </c>
      <c r="E83" s="17" t="n">
        <v>1.59</v>
      </c>
      <c r="F83" s="25">
        <f>C83*E83</f>
        <v/>
      </c>
      <c r="G83" s="18" t="n"/>
      <c r="H83" s="18" t="n"/>
      <c r="I83" s="18" t="n"/>
      <c r="J83" s="18" t="n"/>
      <c r="K83" s="18" t="n"/>
      <c r="L83" s="18" t="n"/>
      <c r="M83" s="18" t="n"/>
      <c r="N83" s="18" t="n"/>
      <c r="O83" s="18" t="n"/>
      <c r="P83" s="18" t="n"/>
      <c r="Q83" s="18" t="n"/>
      <c r="R83" s="18" t="n"/>
      <c r="S83" s="18" t="n"/>
      <c r="T83" s="18" t="n"/>
      <c r="U83" s="18" t="n"/>
      <c r="V83" s="18" t="n"/>
      <c r="W83" s="18" t="n"/>
      <c r="X83" s="18" t="n"/>
      <c r="Y83" s="18" t="n"/>
      <c r="Z83" s="18" t="n"/>
      <c r="AA83" s="18" t="n"/>
      <c r="AB83" s="18" t="n"/>
      <c r="AC83" s="18" t="n"/>
      <c r="AD83" s="18" t="n"/>
      <c r="AE83" s="18" t="n"/>
      <c r="AF83" s="18" t="n"/>
      <c r="AG83" s="18" t="n"/>
      <c r="AH83" s="18" t="n"/>
      <c r="AI83" s="18" t="n"/>
      <c r="AJ83" s="18" t="n"/>
      <c r="AK83" s="18" t="n"/>
      <c r="AL83" s="19">
        <f>SUM(G83:AK83)</f>
        <v/>
      </c>
      <c r="AM83" s="20">
        <f>SUM(C83,AL83)</f>
        <v/>
      </c>
      <c r="AN83" s="21">
        <f>E83*AM83</f>
        <v/>
      </c>
    </row>
    <row r="84" ht="25.05" customHeight="1">
      <c r="C84" s="15">
        <f>SUM(C7:C83)</f>
        <v/>
      </c>
      <c r="E84" s="22" t="inlineStr">
        <is>
          <t>ESTOCAJE  INICIAL</t>
        </is>
      </c>
      <c r="F84" s="23">
        <f>SUM(F7:F83)</f>
        <v/>
      </c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  <c r="AA84" s="14" t="n"/>
      <c r="AB84" s="14" t="n"/>
      <c r="AC84" s="14" t="n"/>
      <c r="AD84" s="14" t="n"/>
      <c r="AE84" s="14" t="n"/>
      <c r="AF84" s="14" t="n"/>
      <c r="AG84" s="14" t="n"/>
      <c r="AH84" s="14" t="n"/>
      <c r="AI84" s="14" t="n"/>
      <c r="AJ84" s="14" t="n"/>
      <c r="AK84" s="14" t="n"/>
      <c r="AL84" s="14" t="n"/>
      <c r="AM84" s="14">
        <f>SUM(AM7:AM83)</f>
        <v/>
      </c>
      <c r="AN84" s="24">
        <f>SUM(AN7:AN83)</f>
        <v/>
      </c>
    </row>
    <row r="85" ht="25.05" customHeight="1"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  <c r="AA85" s="14" t="n"/>
      <c r="AB85" s="14" t="n"/>
      <c r="AC85" s="14" t="n"/>
      <c r="AD85" s="14" t="n"/>
      <c r="AE85" s="14" t="n"/>
      <c r="AF85" s="14" t="n"/>
      <c r="AG85" s="14" t="n"/>
      <c r="AH85" s="14" t="n"/>
      <c r="AI85" s="14" t="n"/>
      <c r="AJ85" s="14" t="n"/>
      <c r="AK85" s="14" t="n"/>
      <c r="AL85" s="14" t="n"/>
      <c r="AM85" s="14" t="n"/>
      <c r="AN85" s="14" t="n"/>
    </row>
    <row r="86" ht="25.05" customHeight="1"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  <c r="AA86" s="14" t="n"/>
      <c r="AB86" s="14" t="n"/>
      <c r="AC86" s="14" t="n"/>
      <c r="AD86" s="14" t="n"/>
      <c r="AE86" s="14" t="n"/>
      <c r="AF86" s="14" t="n"/>
      <c r="AG86" s="14" t="n"/>
      <c r="AH86" s="14" t="n"/>
      <c r="AI86" s="14" t="n"/>
      <c r="AJ86" s="14" t="n"/>
      <c r="AK86" s="14" t="n"/>
      <c r="AL86" s="14" t="n"/>
      <c r="AM86" s="14" t="n"/>
      <c r="AN86" s="14" t="n"/>
    </row>
    <row r="87" ht="25.05" customHeight="1"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  <c r="AA87" s="14" t="n"/>
      <c r="AB87" s="14" t="n"/>
      <c r="AC87" s="14" t="n"/>
      <c r="AD87" s="14" t="n"/>
      <c r="AE87" s="14" t="n"/>
      <c r="AF87" s="14" t="n"/>
      <c r="AG87" s="14" t="n"/>
      <c r="AH87" s="14" t="n"/>
      <c r="AI87" s="14" t="n"/>
      <c r="AJ87" s="14" t="n"/>
      <c r="AK87" s="14" t="n"/>
      <c r="AL87" s="14" t="n"/>
      <c r="AM87" s="14" t="n"/>
      <c r="AN87" s="14" t="n"/>
    </row>
    <row r="88" ht="25.05" customHeight="1"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  <c r="AA88" s="14" t="n"/>
      <c r="AB88" s="14" t="n"/>
      <c r="AC88" s="14" t="n"/>
      <c r="AD88" s="14" t="n"/>
      <c r="AE88" s="14" t="n"/>
      <c r="AF88" s="14" t="n"/>
      <c r="AG88" s="14" t="n"/>
      <c r="AH88" s="14" t="n"/>
      <c r="AI88" s="14" t="n"/>
      <c r="AJ88" s="14" t="n"/>
      <c r="AK88" s="14" t="n"/>
      <c r="AL88" s="14" t="n"/>
      <c r="AM88" s="14" t="n"/>
      <c r="AN88" s="14" t="n"/>
    </row>
    <row r="89" ht="25.05" customHeight="1"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  <c r="AA89" s="14" t="n"/>
      <c r="AB89" s="14" t="n"/>
      <c r="AC89" s="14" t="n"/>
      <c r="AD89" s="14" t="n"/>
      <c r="AE89" s="14" t="n"/>
      <c r="AF89" s="14" t="n"/>
      <c r="AG89" s="14" t="n"/>
      <c r="AH89" s="14" t="n"/>
      <c r="AI89" s="14" t="n"/>
      <c r="AJ89" s="14" t="n"/>
      <c r="AK89" s="14" t="n"/>
      <c r="AL89" s="14" t="n"/>
      <c r="AM89" s="14" t="n"/>
      <c r="AN89" s="14" t="n"/>
    </row>
    <row r="90" ht="25.05" customHeight="1"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  <c r="AA90" s="14" t="n"/>
      <c r="AB90" s="14" t="n"/>
      <c r="AC90" s="14" t="n"/>
      <c r="AD90" s="14" t="n"/>
      <c r="AE90" s="14" t="n"/>
      <c r="AF90" s="14" t="n"/>
      <c r="AG90" s="14" t="n"/>
      <c r="AH90" s="14" t="n"/>
      <c r="AI90" s="14" t="n"/>
      <c r="AJ90" s="14" t="n"/>
      <c r="AK90" s="14" t="n"/>
      <c r="AL90" s="14" t="n"/>
      <c r="AM90" s="14" t="n"/>
      <c r="AN90" s="14" t="n"/>
    </row>
    <row r="91" ht="25.05" customHeight="1"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  <c r="AA91" s="14" t="n"/>
      <c r="AB91" s="14" t="n"/>
      <c r="AC91" s="14" t="n"/>
      <c r="AD91" s="14" t="n"/>
      <c r="AE91" s="14" t="n"/>
      <c r="AF91" s="14" t="n"/>
      <c r="AG91" s="14" t="n"/>
      <c r="AH91" s="14" t="n"/>
      <c r="AI91" s="14" t="n"/>
      <c r="AJ91" s="14" t="n"/>
      <c r="AK91" s="14" t="n"/>
      <c r="AL91" s="14" t="n"/>
      <c r="AM91" s="14" t="n"/>
      <c r="AN91" s="14" t="n"/>
    </row>
    <row r="92" ht="25.05" customHeight="1"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  <c r="AA92" s="14" t="n"/>
      <c r="AB92" s="14" t="n"/>
      <c r="AC92" s="14" t="n"/>
      <c r="AD92" s="14" t="n"/>
      <c r="AE92" s="14" t="n"/>
      <c r="AF92" s="14" t="n"/>
      <c r="AG92" s="14" t="n"/>
      <c r="AH92" s="14" t="n"/>
      <c r="AI92" s="14" t="n"/>
      <c r="AJ92" s="14" t="n"/>
      <c r="AK92" s="14" t="n"/>
      <c r="AL92" s="14" t="n"/>
      <c r="AM92" s="14" t="n"/>
      <c r="AN92" s="14" t="n"/>
    </row>
    <row r="93" ht="25.05" customHeight="1"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  <c r="AA93" s="14" t="n"/>
      <c r="AB93" s="14" t="n"/>
      <c r="AC93" s="14" t="n"/>
      <c r="AD93" s="14" t="n"/>
      <c r="AE93" s="14" t="n"/>
      <c r="AF93" s="14" t="n"/>
      <c r="AG93" s="14" t="n"/>
      <c r="AH93" s="14" t="n"/>
      <c r="AI93" s="14" t="n"/>
      <c r="AJ93" s="14" t="n"/>
      <c r="AK93" s="14" t="n"/>
      <c r="AL93" s="14" t="n"/>
      <c r="AM93" s="14" t="n"/>
      <c r="AN93" s="14" t="n"/>
    </row>
    <row r="94" ht="25.05" customHeight="1"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  <c r="AA94" s="14" t="n"/>
      <c r="AB94" s="14" t="n"/>
      <c r="AC94" s="14" t="n"/>
      <c r="AD94" s="14" t="n"/>
      <c r="AE94" s="14" t="n"/>
      <c r="AF94" s="14" t="n"/>
      <c r="AG94" s="14" t="n"/>
      <c r="AH94" s="14" t="n"/>
      <c r="AI94" s="14" t="n"/>
      <c r="AJ94" s="14" t="n"/>
      <c r="AK94" s="14" t="n"/>
      <c r="AL94" s="14" t="n"/>
      <c r="AM94" s="14" t="n"/>
      <c r="AN94" s="14" t="n"/>
    </row>
    <row r="95" ht="25.05" customHeight="1"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  <c r="AA95" s="14" t="n"/>
      <c r="AB95" s="14" t="n"/>
      <c r="AC95" s="14" t="n"/>
      <c r="AD95" s="14" t="n"/>
      <c r="AE95" s="14" t="n"/>
      <c r="AF95" s="14" t="n"/>
      <c r="AG95" s="14" t="n"/>
      <c r="AH95" s="14" t="n"/>
      <c r="AI95" s="14" t="n"/>
      <c r="AJ95" s="14" t="n"/>
      <c r="AK95" s="14" t="n"/>
      <c r="AL95" s="14" t="n"/>
      <c r="AM95" s="14" t="n"/>
      <c r="AN95" s="14" t="n"/>
    </row>
    <row r="96" ht="25.05" customHeight="1"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  <c r="AA96" s="14" t="n"/>
      <c r="AB96" s="14" t="n"/>
      <c r="AC96" s="14" t="n"/>
      <c r="AD96" s="14" t="n"/>
      <c r="AE96" s="14" t="n"/>
      <c r="AF96" s="14" t="n"/>
      <c r="AG96" s="14" t="n"/>
      <c r="AH96" s="14" t="n"/>
      <c r="AI96" s="14" t="n"/>
      <c r="AJ96" s="14" t="n"/>
      <c r="AK96" s="14" t="n"/>
      <c r="AL96" s="14" t="n"/>
      <c r="AM96" s="14" t="n"/>
      <c r="AN96" s="14" t="n"/>
    </row>
    <row r="97" ht="25.05" customHeight="1"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  <c r="AA97" s="14" t="n"/>
      <c r="AB97" s="14" t="n"/>
      <c r="AC97" s="14" t="n"/>
      <c r="AD97" s="14" t="n"/>
      <c r="AE97" s="14" t="n"/>
      <c r="AF97" s="14" t="n"/>
      <c r="AG97" s="14" t="n"/>
      <c r="AH97" s="14" t="n"/>
      <c r="AI97" s="14" t="n"/>
      <c r="AJ97" s="14" t="n"/>
      <c r="AK97" s="14" t="n"/>
      <c r="AL97" s="14" t="n"/>
      <c r="AM97" s="14" t="n"/>
      <c r="AN97" s="14" t="n"/>
    </row>
    <row r="98" ht="25.05" customHeight="1"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  <c r="AD98" s="14" t="n"/>
      <c r="AE98" s="14" t="n"/>
      <c r="AF98" s="14" t="n"/>
      <c r="AG98" s="14" t="n"/>
      <c r="AH98" s="14" t="n"/>
      <c r="AI98" s="14" t="n"/>
      <c r="AJ98" s="14" t="n"/>
      <c r="AK98" s="14" t="n"/>
      <c r="AL98" s="14" t="n"/>
      <c r="AM98" s="14" t="n"/>
      <c r="AN98" s="14" t="n"/>
    </row>
    <row r="99" ht="25.05" customHeight="1"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  <c r="AA99" s="14" t="n"/>
      <c r="AB99" s="14" t="n"/>
      <c r="AC99" s="14" t="n"/>
      <c r="AD99" s="14" t="n"/>
      <c r="AE99" s="14" t="n"/>
      <c r="AF99" s="14" t="n"/>
      <c r="AG99" s="14" t="n"/>
      <c r="AH99" s="14" t="n"/>
      <c r="AI99" s="14" t="n"/>
      <c r="AJ99" s="14" t="n"/>
      <c r="AK99" s="14" t="n"/>
      <c r="AL99" s="14" t="n"/>
      <c r="AM99" s="14" t="n"/>
      <c r="AN99" s="14" t="n"/>
    </row>
    <row r="100" ht="25.05" customHeight="1"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  <c r="AA100" s="14" t="n"/>
      <c r="AB100" s="14" t="n"/>
      <c r="AC100" s="14" t="n"/>
      <c r="AD100" s="14" t="n"/>
      <c r="AE100" s="14" t="n"/>
      <c r="AF100" s="14" t="n"/>
      <c r="AG100" s="14" t="n"/>
      <c r="AH100" s="14" t="n"/>
      <c r="AI100" s="14" t="n"/>
      <c r="AJ100" s="14" t="n"/>
      <c r="AK100" s="14" t="n"/>
      <c r="AL100" s="14" t="n"/>
      <c r="AM100" s="14" t="n"/>
      <c r="AN100" s="14" t="n"/>
    </row>
    <row r="101" ht="25.05" customHeight="1"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  <c r="AA101" s="14" t="n"/>
      <c r="AB101" s="14" t="n"/>
      <c r="AC101" s="14" t="n"/>
      <c r="AD101" s="14" t="n"/>
      <c r="AE101" s="14" t="n"/>
      <c r="AF101" s="14" t="n"/>
      <c r="AG101" s="14" t="n"/>
      <c r="AH101" s="14" t="n"/>
      <c r="AI101" s="14" t="n"/>
      <c r="AJ101" s="14" t="n"/>
      <c r="AK101" s="14" t="n"/>
      <c r="AL101" s="14" t="n"/>
      <c r="AM101" s="14" t="n"/>
      <c r="AN101" s="14" t="n"/>
    </row>
    <row r="102" ht="25.05" customHeight="1"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  <c r="AA102" s="14" t="n"/>
      <c r="AB102" s="14" t="n"/>
      <c r="AC102" s="14" t="n"/>
      <c r="AD102" s="14" t="n"/>
      <c r="AE102" s="14" t="n"/>
      <c r="AF102" s="14" t="n"/>
      <c r="AG102" s="14" t="n"/>
      <c r="AH102" s="14" t="n"/>
      <c r="AI102" s="14" t="n"/>
      <c r="AJ102" s="14" t="n"/>
      <c r="AK102" s="14" t="n"/>
      <c r="AL102" s="14" t="n"/>
      <c r="AM102" s="14" t="n"/>
      <c r="AN102" s="14" t="n"/>
    </row>
    <row r="103" ht="25.05" customHeight="1"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  <c r="AA103" s="14" t="n"/>
      <c r="AB103" s="14" t="n"/>
      <c r="AC103" s="14" t="n"/>
      <c r="AD103" s="14" t="n"/>
      <c r="AE103" s="14" t="n"/>
      <c r="AF103" s="14" t="n"/>
      <c r="AG103" s="14" t="n"/>
      <c r="AH103" s="14" t="n"/>
      <c r="AI103" s="14" t="n"/>
      <c r="AJ103" s="14" t="n"/>
      <c r="AK103" s="14" t="n"/>
      <c r="AL103" s="14" t="n"/>
      <c r="AM103" s="14" t="n"/>
      <c r="AN103" s="14" t="n"/>
    </row>
    <row r="104" ht="25.05" customHeight="1"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  <c r="AA104" s="14" t="n"/>
      <c r="AB104" s="14" t="n"/>
      <c r="AC104" s="14" t="n"/>
      <c r="AD104" s="14" t="n"/>
      <c r="AE104" s="14" t="n"/>
      <c r="AF104" s="14" t="n"/>
      <c r="AG104" s="14" t="n"/>
      <c r="AH104" s="14" t="n"/>
      <c r="AI104" s="14" t="n"/>
      <c r="AJ104" s="14" t="n"/>
      <c r="AK104" s="14" t="n"/>
      <c r="AL104" s="14" t="n"/>
      <c r="AM104" s="14" t="n"/>
      <c r="AN104" s="14" t="n"/>
    </row>
    <row r="105" ht="25.05" customHeight="1"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  <c r="AA105" s="14" t="n"/>
      <c r="AB105" s="14" t="n"/>
      <c r="AC105" s="14" t="n"/>
      <c r="AD105" s="14" t="n"/>
      <c r="AE105" s="14" t="n"/>
      <c r="AF105" s="14" t="n"/>
      <c r="AG105" s="14" t="n"/>
      <c r="AH105" s="14" t="n"/>
      <c r="AI105" s="14" t="n"/>
      <c r="AJ105" s="14" t="n"/>
      <c r="AK105" s="14" t="n"/>
      <c r="AL105" s="14" t="n"/>
      <c r="AM105" s="14" t="n"/>
      <c r="AN105" s="14" t="n"/>
    </row>
    <row r="106"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  <c r="AA106" s="14" t="n"/>
      <c r="AB106" s="14" t="n"/>
      <c r="AC106" s="14" t="n"/>
      <c r="AD106" s="14" t="n"/>
      <c r="AE106" s="14" t="n"/>
      <c r="AF106" s="14" t="n"/>
      <c r="AG106" s="14" t="n"/>
      <c r="AH106" s="14" t="n"/>
      <c r="AI106" s="14" t="n"/>
      <c r="AJ106" s="14" t="n"/>
      <c r="AK106" s="14" t="n"/>
      <c r="AL106" s="14" t="n"/>
      <c r="AM106" s="14" t="n"/>
      <c r="AN106" s="14" t="n"/>
    </row>
    <row r="107"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  <c r="AA107" s="14" t="n"/>
      <c r="AB107" s="14" t="n"/>
      <c r="AC107" s="14" t="n"/>
      <c r="AD107" s="14" t="n"/>
      <c r="AE107" s="14" t="n"/>
      <c r="AF107" s="14" t="n"/>
      <c r="AG107" s="14" t="n"/>
      <c r="AH107" s="14" t="n"/>
      <c r="AI107" s="14" t="n"/>
      <c r="AJ107" s="14" t="n"/>
      <c r="AK107" s="14" t="n"/>
      <c r="AL107" s="14" t="n"/>
      <c r="AM107" s="14" t="n"/>
      <c r="AN107" s="14" t="n"/>
    </row>
    <row r="108"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  <c r="AA108" s="14" t="n"/>
      <c r="AB108" s="14" t="n"/>
      <c r="AC108" s="14" t="n"/>
      <c r="AD108" s="14" t="n"/>
      <c r="AE108" s="14" t="n"/>
      <c r="AF108" s="14" t="n"/>
      <c r="AG108" s="14" t="n"/>
      <c r="AH108" s="14" t="n"/>
      <c r="AI108" s="14" t="n"/>
      <c r="AJ108" s="14" t="n"/>
      <c r="AK108" s="14" t="n"/>
      <c r="AL108" s="14" t="n"/>
      <c r="AM108" s="14" t="n"/>
      <c r="AN108" s="14" t="n"/>
    </row>
    <row r="109"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  <c r="AA109" s="14" t="n"/>
      <c r="AB109" s="14" t="n"/>
      <c r="AC109" s="14" t="n"/>
      <c r="AD109" s="14" t="n"/>
      <c r="AE109" s="14" t="n"/>
      <c r="AF109" s="14" t="n"/>
      <c r="AG109" s="14" t="n"/>
      <c r="AH109" s="14" t="n"/>
      <c r="AI109" s="14" t="n"/>
      <c r="AJ109" s="14" t="n"/>
      <c r="AK109" s="14" t="n"/>
      <c r="AL109" s="14" t="n"/>
      <c r="AM109" s="14" t="n"/>
      <c r="AN109" s="14" t="n"/>
    </row>
    <row r="110"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  <c r="AA110" s="14" t="n"/>
      <c r="AB110" s="14" t="n"/>
      <c r="AC110" s="14" t="n"/>
      <c r="AD110" s="14" t="n"/>
      <c r="AE110" s="14" t="n"/>
      <c r="AF110" s="14" t="n"/>
      <c r="AG110" s="14" t="n"/>
      <c r="AH110" s="14" t="n"/>
      <c r="AI110" s="14" t="n"/>
      <c r="AJ110" s="14" t="n"/>
      <c r="AK110" s="14" t="n"/>
      <c r="AL110" s="14" t="n"/>
      <c r="AM110" s="14" t="n"/>
      <c r="AN110" s="14" t="n"/>
    </row>
    <row r="111"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  <c r="AA111" s="14" t="n"/>
      <c r="AB111" s="14" t="n"/>
      <c r="AC111" s="14" t="n"/>
      <c r="AD111" s="14" t="n"/>
      <c r="AE111" s="14" t="n"/>
      <c r="AF111" s="14" t="n"/>
      <c r="AG111" s="14" t="n"/>
      <c r="AH111" s="14" t="n"/>
      <c r="AI111" s="14" t="n"/>
      <c r="AJ111" s="14" t="n"/>
      <c r="AK111" s="14" t="n"/>
      <c r="AL111" s="14" t="n"/>
      <c r="AM111" s="14" t="n"/>
      <c r="AN111" s="14" t="n"/>
    </row>
    <row r="112"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  <c r="AA112" s="14" t="n"/>
      <c r="AB112" s="14" t="n"/>
      <c r="AC112" s="14" t="n"/>
      <c r="AD112" s="14" t="n"/>
      <c r="AE112" s="14" t="n"/>
      <c r="AF112" s="14" t="n"/>
      <c r="AG112" s="14" t="n"/>
      <c r="AH112" s="14" t="n"/>
      <c r="AI112" s="14" t="n"/>
      <c r="AJ112" s="14" t="n"/>
      <c r="AK112" s="14" t="n"/>
      <c r="AL112" s="14" t="n"/>
      <c r="AM112" s="14" t="n"/>
      <c r="AN112" s="14" t="n"/>
    </row>
    <row r="113"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  <c r="AA113" s="14" t="n"/>
      <c r="AB113" s="14" t="n"/>
      <c r="AC113" s="14" t="n"/>
      <c r="AD113" s="14" t="n"/>
      <c r="AE113" s="14" t="n"/>
      <c r="AF113" s="14" t="n"/>
      <c r="AG113" s="14" t="n"/>
      <c r="AH113" s="14" t="n"/>
      <c r="AI113" s="14" t="n"/>
      <c r="AJ113" s="14" t="n"/>
      <c r="AK113" s="14" t="n"/>
      <c r="AL113" s="14" t="n"/>
      <c r="AM113" s="14" t="n"/>
      <c r="AN113" s="14" t="n"/>
    </row>
    <row r="114"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  <c r="AA114" s="14" t="n"/>
      <c r="AB114" s="14" t="n"/>
      <c r="AC114" s="14" t="n"/>
      <c r="AD114" s="14" t="n"/>
      <c r="AE114" s="14" t="n"/>
      <c r="AF114" s="14" t="n"/>
      <c r="AG114" s="14" t="n"/>
      <c r="AH114" s="14" t="n"/>
      <c r="AI114" s="14" t="n"/>
      <c r="AJ114" s="14" t="n"/>
      <c r="AK114" s="14" t="n"/>
      <c r="AL114" s="14" t="n"/>
      <c r="AM114" s="14" t="n"/>
      <c r="AN114" s="14" t="n"/>
    </row>
  </sheetData>
  <autoFilter ref="A6:F6"/>
  <mergeCells count="3">
    <mergeCell ref="AL5:AL6"/>
    <mergeCell ref="AN5:AN6"/>
    <mergeCell ref="AM5:AM6"/>
  </mergeCells>
  <conditionalFormatting sqref="C7:C74">
    <cfRule type="expression" priority="1" dxfId="0">
      <formula>C7&gt;#REF!</formula>
    </cfRule>
  </conditionalFormatting>
  <pageMargins left="0.7" right="0.7" top="0.75" bottom="0.75" header="0" footer="0"/>
  <pageSetup orientation="portrait" paperSize="9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2026-07-24T18:18:03Z</dcterms:created>
  <dcterms:modified xsi:type="dcterms:W3CDTF">2026-08-29T13:16:37Z</dcterms:modified>
  <cp:lastModifiedBy>Walter Cutiño Ledo</cp:lastModifiedBy>
</cp:coreProperties>
</file>