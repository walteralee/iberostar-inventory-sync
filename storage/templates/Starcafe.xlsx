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ROYECTOS\NO SE PUEDEN SUBIR\Iberostar\storage\input\excels\2026\JULIO\"/>
    </mc:Choice>
  </mc:AlternateContent>
  <xr:revisionPtr revIDLastSave="0" documentId="13_ncr:1_{BF133C39-A87F-475F-9009-9551D4A495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6" i="2" l="1"/>
  <c r="AM36" i="2" s="1"/>
  <c r="AN36" i="2" s="1"/>
  <c r="F36" i="2"/>
  <c r="AL35" i="2"/>
  <c r="AM35" i="2" s="1"/>
  <c r="AN35" i="2" s="1"/>
  <c r="F35" i="2"/>
  <c r="AM34" i="2"/>
  <c r="AN34" i="2" s="1"/>
  <c r="AL34" i="2"/>
  <c r="F34" i="2"/>
  <c r="AL33" i="2"/>
  <c r="AM33" i="2" s="1"/>
  <c r="AN33" i="2" s="1"/>
  <c r="F33" i="2"/>
  <c r="AL32" i="2"/>
  <c r="AM32" i="2" s="1"/>
  <c r="AN32" i="2" s="1"/>
  <c r="F32" i="2"/>
  <c r="AM31" i="2"/>
  <c r="AN31" i="2" s="1"/>
  <c r="AL31" i="2"/>
  <c r="F31" i="2"/>
  <c r="AL30" i="2"/>
  <c r="AM30" i="2" s="1"/>
  <c r="AN30" i="2" s="1"/>
  <c r="F30" i="2"/>
  <c r="AL29" i="2"/>
  <c r="AM29" i="2" s="1"/>
  <c r="AN29" i="2" s="1"/>
  <c r="F29" i="2"/>
  <c r="AM28" i="2"/>
  <c r="AN28" i="2" s="1"/>
  <c r="AL28" i="2"/>
  <c r="F28" i="2"/>
  <c r="AL27" i="2"/>
  <c r="AM27" i="2" s="1"/>
  <c r="AN27" i="2" s="1"/>
  <c r="F27" i="2"/>
  <c r="AL26" i="2"/>
  <c r="AM26" i="2" s="1"/>
  <c r="AN26" i="2" s="1"/>
  <c r="F26" i="2"/>
  <c r="AM25" i="2"/>
  <c r="AN25" i="2" s="1"/>
  <c r="AL25" i="2"/>
  <c r="F25" i="2"/>
  <c r="AL24" i="2"/>
  <c r="AM24" i="2" s="1"/>
  <c r="AN24" i="2" s="1"/>
  <c r="F24" i="2"/>
  <c r="AL23" i="2"/>
  <c r="AM23" i="2" s="1"/>
  <c r="AN23" i="2" s="1"/>
  <c r="F23" i="2"/>
  <c r="AM22" i="2"/>
  <c r="AN22" i="2" s="1"/>
  <c r="AL22" i="2"/>
  <c r="F22" i="2"/>
  <c r="AL21" i="2"/>
  <c r="AM21" i="2" s="1"/>
  <c r="AN21" i="2" s="1"/>
  <c r="F21" i="2"/>
  <c r="AL20" i="2"/>
  <c r="AM20" i="2" s="1"/>
  <c r="AN20" i="2" s="1"/>
  <c r="F20" i="2"/>
  <c r="AM19" i="2"/>
  <c r="AN19" i="2" s="1"/>
  <c r="AL19" i="2"/>
  <c r="F19" i="2"/>
  <c r="AL18" i="2"/>
  <c r="AM18" i="2" s="1"/>
  <c r="AN18" i="2" s="1"/>
  <c r="F18" i="2"/>
  <c r="AL17" i="2"/>
  <c r="AM17" i="2" s="1"/>
  <c r="AN17" i="2" s="1"/>
  <c r="F17" i="2"/>
  <c r="AM16" i="2"/>
  <c r="AN16" i="2" s="1"/>
  <c r="AL16" i="2"/>
  <c r="F16" i="2"/>
  <c r="AL15" i="2"/>
  <c r="AM15" i="2" s="1"/>
  <c r="AN15" i="2" s="1"/>
  <c r="F15" i="2"/>
  <c r="AL14" i="2"/>
  <c r="AM14" i="2" s="1"/>
  <c r="AN14" i="2" s="1"/>
  <c r="F14" i="2"/>
  <c r="AM13" i="2"/>
  <c r="AN13" i="2" s="1"/>
  <c r="AL13" i="2"/>
  <c r="F13" i="2"/>
  <c r="AL12" i="2"/>
  <c r="AM12" i="2" s="1"/>
  <c r="AN12" i="2" s="1"/>
  <c r="F12" i="2"/>
  <c r="AL11" i="2"/>
  <c r="AM11" i="2" s="1"/>
  <c r="AN11" i="2" s="1"/>
  <c r="F11" i="2"/>
  <c r="AM10" i="2"/>
  <c r="AN10" i="2" s="1"/>
  <c r="AL10" i="2"/>
  <c r="F10" i="2"/>
  <c r="AL9" i="2"/>
  <c r="AM9" i="2" s="1"/>
  <c r="AN9" i="2" s="1"/>
  <c r="F9" i="2"/>
  <c r="AL8" i="2"/>
  <c r="AM8" i="2" s="1"/>
  <c r="AN8" i="2" s="1"/>
  <c r="F8" i="2"/>
  <c r="AM7" i="2"/>
  <c r="AN7" i="2" s="1"/>
  <c r="AL7" i="2"/>
  <c r="F7" i="2"/>
  <c r="F37" i="2" s="1"/>
  <c r="AN37" i="2" l="1"/>
</calcChain>
</file>

<file path=xl/sharedStrings.xml><?xml version="1.0" encoding="utf-8"?>
<sst xmlns="http://schemas.openxmlformats.org/spreadsheetml/2006/main" count="102" uniqueCount="55">
  <si>
    <t>STAR   CAFE</t>
  </si>
  <si>
    <t>Cód.Art.</t>
  </si>
  <si>
    <t>Artículo</t>
  </si>
  <si>
    <t>Cnt.Stk.</t>
  </si>
  <si>
    <t>Frm.Stk.</t>
  </si>
  <si>
    <t>Prc.Med.EUR</t>
  </si>
  <si>
    <t>Total EUR</t>
  </si>
  <si>
    <t>AZUCAR TERRON BLANCO 4 GR</t>
  </si>
  <si>
    <t>UNIDAD</t>
  </si>
  <si>
    <t>AZUCAR TERRON MORENO 4 GR</t>
  </si>
  <si>
    <t>SIROPE CHOCOLATE</t>
  </si>
  <si>
    <t>BOTE</t>
  </si>
  <si>
    <t>SIROPE CHOCOLATE BLANCO 1200 GR</t>
  </si>
  <si>
    <t>BOTELLA</t>
  </si>
  <si>
    <t>SIROPE FRESA</t>
  </si>
  <si>
    <t>BEBIDA SOJA ORIGINAL 100 CL</t>
  </si>
  <si>
    <t>BRIK</t>
  </si>
  <si>
    <t>SUPLEMENTO PROTEINA CHOCOLATE</t>
  </si>
  <si>
    <t>KILO</t>
  </si>
  <si>
    <t>SUPLEMENTO PROTEINA FRESA</t>
  </si>
  <si>
    <t>SUPLEMENTO PROTEINA VAINILLA</t>
  </si>
  <si>
    <t>BIB LECHE SEMIDESNATADA 10 LT</t>
  </si>
  <si>
    <t>LITRO</t>
  </si>
  <si>
    <t>LECHE ALMENDRA 1 LT</t>
  </si>
  <si>
    <t>LECHE AVENA 1 LT</t>
  </si>
  <si>
    <t>LECHE SEMIDESNATADA 1 LT</t>
  </si>
  <si>
    <t>LECHE SEMIDESNATADA SIN LACTOSA BRIK 1 LT</t>
  </si>
  <si>
    <t>CAFE GRANO BLEND PROFONDO/ELEGANTE 1 KG</t>
  </si>
  <si>
    <t>CAFE GRANO DESCAFEINADO 500 GR</t>
  </si>
  <si>
    <t>PAQUETE</t>
  </si>
  <si>
    <t>TE MATCHA POLVO 500 GR</t>
  </si>
  <si>
    <t>TE/INFUSION BOLSITA IND PAPEL ENGLISH BREAKFAST 1.5 GR 30 UD</t>
  </si>
  <si>
    <t>TE/INFUSION BOLSITA IND PAPEL MENTA 1.5 GR 30 UD</t>
  </si>
  <si>
    <t>TE/INFUSION BOLSITA IND PAPEL ROJO 1.5 GR 30 UD</t>
  </si>
  <si>
    <t>JARABE AVELLANA S/ALCOHOL 70 CL</t>
  </si>
  <si>
    <t>JARABE CARAMELO S/AZUCAR 70 CL</t>
  </si>
  <si>
    <t>JARABE CONCENTRADO CLOUDY LEMONADE 70 CL</t>
  </si>
  <si>
    <t>JARABE CONCENTRADO TE DE LIMON MONIN  70 CL</t>
  </si>
  <si>
    <t>JARABE JENGIBRE CONCENTRADO S/ALCOHOL 70 CL</t>
  </si>
  <si>
    <t>JARABE TE CHAI S/ALCOHOL 70 CL</t>
  </si>
  <si>
    <t>JARABE VAINILLA S/ALCOHOL 100 CL</t>
  </si>
  <si>
    <t>PURE FRUTA FRUTOS ROJOS 100 CL</t>
  </si>
  <si>
    <t>PURE FRUTA MARACUYA 100 CL</t>
  </si>
  <si>
    <t>PURE FRUTA YUZU 100 CL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</si>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</sst>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6"/>
      <color theme="1"/>
      <name val="Calibri"/>
      <scheme val="minor"/>
    </font>
    <font>
      <b/>
      <sz val="18"/>
      <color rgb="FF333399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4" fillId="3" borderId="1" xfId="0" applyFont="1" applyFill="1" applyBorder="1"/>
    <xf numFmtId="0" fontId="4" fillId="4" borderId="2" xfId="0" applyFont="1" applyFill="1" applyBorder="1"/>
    <xf numFmtId="0" fontId="4" fillId="4" borderId="3" xfId="0" applyFont="1" applyFill="1" applyBorder="1"/>
    <xf numFmtId="4" fontId="4" fillId="4" borderId="4" xfId="0" applyNumberFormat="1" applyFont="1" applyFill="1" applyBorder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4" fontId="1" fillId="5" borderId="0" xfId="0" applyNumberFormat="1" applyFont="1" applyFill="1"/>
    <xf numFmtId="0" fontId="7" fillId="0" borderId="0" xfId="0" applyFont="1"/>
    <xf numFmtId="0" fontId="8" fillId="4" borderId="0" xfId="0" applyFont="1" applyFill="1"/>
    <xf numFmtId="4" fontId="5" fillId="0" borderId="1" xfId="0" applyNumberFormat="1" applyFont="1" applyBorder="1" applyAlignment="1">
      <alignment horizontal="right"/>
    </xf>
    <xf numFmtId="2" fontId="5" fillId="0" borderId="0" xfId="0" applyNumberFormat="1" applyFont="1"/>
    <xf numFmtId="0" fontId="9" fillId="6" borderId="5" xfId="0" applyFont="1" applyFill="1" applyBorder="1" applyAlignment="1">
      <alignment horizontal="center"/>
    </xf>
    <xf numFmtId="0" fontId="9" fillId="7" borderId="5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2" fontId="5" fillId="6" borderId="5" xfId="0" applyNumberFormat="1" applyFont="1" applyFill="1" applyBorder="1"/>
    <xf numFmtId="2" fontId="9" fillId="6" borderId="5" xfId="0" applyNumberFormat="1" applyFont="1" applyFill="1" applyBorder="1" applyAlignment="1">
      <alignment horizontal="center"/>
    </xf>
    <xf numFmtId="0" fontId="5" fillId="0" borderId="1" xfId="0" applyFont="1" applyBorder="1"/>
    <xf numFmtId="0" fontId="5" fillId="2" borderId="9" xfId="0" applyFont="1" applyFill="1" applyBorder="1" applyAlignment="1">
      <alignment horizontal="right"/>
    </xf>
    <xf numFmtId="0" fontId="5" fillId="0" borderId="9" xfId="0" applyFont="1" applyBorder="1" applyAlignment="1">
      <alignment horizontal="right"/>
    </xf>
    <xf numFmtId="2" fontId="13" fillId="8" borderId="1" xfId="0" applyNumberFormat="1" applyFont="1" applyFill="1" applyBorder="1" applyAlignment="1">
      <alignment horizontal="right"/>
    </xf>
    <xf numFmtId="0" fontId="10" fillId="6" borderId="7" xfId="0" applyFont="1" applyFill="1" applyBorder="1" applyAlignment="1">
      <alignment horizontal="center"/>
    </xf>
    <xf numFmtId="0" fontId="12" fillId="0" borderId="8" xfId="0" applyFont="1" applyBorder="1"/>
    <xf numFmtId="0" fontId="11" fillId="6" borderId="7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0075" cy="628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abSelected="1" workbookViewId="0"/>
  </sheetViews>
  <sheetFormatPr baseColWidth="10" defaultColWidth="14.44140625" defaultRowHeight="15" customHeight="1" x14ac:dyDescent="0.3"/>
  <cols>
    <col min="1" max="1" width="7.6640625" customWidth="1"/>
    <col min="2" max="2" width="57.6640625" customWidth="1"/>
    <col min="3" max="3" width="6.6640625" customWidth="1"/>
    <col min="4" max="4" width="8.6640625" customWidth="1"/>
    <col min="5" max="5" width="11.6640625" customWidth="1"/>
    <col min="6" max="6" width="9.6640625" customWidth="1"/>
    <col min="7" max="37" width="6" customWidth="1"/>
    <col min="38" max="38" width="11.109375" customWidth="1"/>
    <col min="39" max="39" width="16.88671875" customWidth="1"/>
    <col min="40" max="40" width="12.88671875" customWidth="1"/>
  </cols>
  <sheetData>
    <row r="1" spans="1:40" ht="14.4" x14ac:dyDescent="0.3">
      <c r="E1" s="1"/>
      <c r="F1" s="1"/>
    </row>
    <row r="2" spans="1:40" ht="14.4" x14ac:dyDescent="0.3">
      <c r="E2" s="1"/>
      <c r="F2" s="1"/>
    </row>
    <row r="3" spans="1:40" ht="14.4" x14ac:dyDescent="0.3">
      <c r="E3" s="1"/>
      <c r="F3" s="1"/>
    </row>
    <row r="4" spans="1:40" ht="23.25" customHeight="1" x14ac:dyDescent="0.45">
      <c r="B4" s="2" t="s">
        <v>0</v>
      </c>
      <c r="E4" s="1"/>
      <c r="F4" s="1"/>
      <c r="H4" s="3"/>
    </row>
    <row r="5" spans="1:40" ht="17.399999999999999" x14ac:dyDescent="0.45">
      <c r="E5" s="1"/>
      <c r="F5" s="1"/>
      <c r="G5" s="16" t="s">
        <v>45</v>
      </c>
      <c r="H5" s="16" t="s">
        <v>46</v>
      </c>
      <c r="I5" s="16" t="s">
        <v>47</v>
      </c>
      <c r="J5" s="17" t="s">
        <v>48</v>
      </c>
      <c r="K5" s="17" t="s">
        <v>49</v>
      </c>
      <c r="L5" s="18" t="s">
        <v>50</v>
      </c>
      <c r="M5" s="16" t="s">
        <v>51</v>
      </c>
      <c r="N5" s="16" t="s">
        <v>45</v>
      </c>
      <c r="O5" s="16" t="s">
        <v>46</v>
      </c>
      <c r="P5" s="16" t="s">
        <v>47</v>
      </c>
      <c r="Q5" s="17" t="s">
        <v>48</v>
      </c>
      <c r="R5" s="17" t="s">
        <v>49</v>
      </c>
      <c r="S5" s="18" t="s">
        <v>50</v>
      </c>
      <c r="T5" s="16" t="s">
        <v>51</v>
      </c>
      <c r="U5" s="16" t="s">
        <v>45</v>
      </c>
      <c r="V5" s="16" t="s">
        <v>46</v>
      </c>
      <c r="W5" s="16" t="s">
        <v>47</v>
      </c>
      <c r="X5" s="17" t="s">
        <v>48</v>
      </c>
      <c r="Y5" s="17" t="s">
        <v>49</v>
      </c>
      <c r="Z5" s="18" t="s">
        <v>50</v>
      </c>
      <c r="AA5" s="16" t="s">
        <v>51</v>
      </c>
      <c r="AB5" s="16" t="s">
        <v>45</v>
      </c>
      <c r="AC5" s="16" t="s">
        <v>46</v>
      </c>
      <c r="AD5" s="16" t="s">
        <v>47</v>
      </c>
      <c r="AE5" s="17" t="s">
        <v>48</v>
      </c>
      <c r="AF5" s="17" t="s">
        <v>49</v>
      </c>
      <c r="AG5" s="18" t="s">
        <v>50</v>
      </c>
      <c r="AH5" s="16" t="s">
        <v>51</v>
      </c>
      <c r="AI5" s="16" t="s">
        <v>45</v>
      </c>
      <c r="AJ5" s="16" t="s">
        <v>46</v>
      </c>
      <c r="AK5" s="19" t="s">
        <v>47</v>
      </c>
      <c r="AL5" s="26" t="s">
        <v>52</v>
      </c>
      <c r="AM5" s="28" t="s">
        <v>53</v>
      </c>
      <c r="AN5" s="20"/>
    </row>
    <row r="6" spans="1:40" ht="17.399999999999999" x14ac:dyDescent="0.45">
      <c r="A6" s="4" t="s">
        <v>1</v>
      </c>
      <c r="B6" s="4" t="s">
        <v>2</v>
      </c>
      <c r="C6" s="5" t="s">
        <v>3</v>
      </c>
      <c r="D6" s="6" t="s">
        <v>4</v>
      </c>
      <c r="E6" s="7" t="s">
        <v>5</v>
      </c>
      <c r="F6" s="7" t="s">
        <v>6</v>
      </c>
      <c r="G6" s="16">
        <v>1</v>
      </c>
      <c r="H6" s="16">
        <v>2</v>
      </c>
      <c r="I6" s="16">
        <v>3</v>
      </c>
      <c r="J6" s="17">
        <v>4</v>
      </c>
      <c r="K6" s="17">
        <v>5</v>
      </c>
      <c r="L6" s="16">
        <v>6</v>
      </c>
      <c r="M6" s="16">
        <v>7</v>
      </c>
      <c r="N6" s="16">
        <v>8</v>
      </c>
      <c r="O6" s="16">
        <v>9</v>
      </c>
      <c r="P6" s="16">
        <v>10</v>
      </c>
      <c r="Q6" s="17">
        <v>11</v>
      </c>
      <c r="R6" s="17">
        <v>12</v>
      </c>
      <c r="S6" s="16">
        <v>13</v>
      </c>
      <c r="T6" s="16">
        <v>14</v>
      </c>
      <c r="U6" s="16">
        <v>15</v>
      </c>
      <c r="V6" s="16">
        <v>16</v>
      </c>
      <c r="W6" s="16">
        <v>17</v>
      </c>
      <c r="X6" s="17">
        <v>18</v>
      </c>
      <c r="Y6" s="17">
        <v>19</v>
      </c>
      <c r="Z6" s="16">
        <v>20</v>
      </c>
      <c r="AA6" s="16">
        <v>21</v>
      </c>
      <c r="AB6" s="16">
        <v>22</v>
      </c>
      <c r="AC6" s="16">
        <v>23</v>
      </c>
      <c r="AD6" s="16">
        <v>24</v>
      </c>
      <c r="AE6" s="17">
        <v>25</v>
      </c>
      <c r="AF6" s="17">
        <v>26</v>
      </c>
      <c r="AG6" s="16">
        <v>27</v>
      </c>
      <c r="AH6" s="16">
        <v>28</v>
      </c>
      <c r="AI6" s="16">
        <v>29</v>
      </c>
      <c r="AJ6" s="16">
        <v>30</v>
      </c>
      <c r="AK6" s="19">
        <v>31</v>
      </c>
      <c r="AL6" s="27"/>
      <c r="AM6" s="27"/>
      <c r="AN6" s="21" t="s">
        <v>54</v>
      </c>
    </row>
    <row r="7" spans="1:40" ht="22.5" customHeight="1" x14ac:dyDescent="0.3">
      <c r="A7" s="8">
        <v>30756</v>
      </c>
      <c r="B7" s="9" t="s">
        <v>7</v>
      </c>
      <c r="C7" s="12">
        <v>0</v>
      </c>
      <c r="D7" s="10" t="s">
        <v>8</v>
      </c>
      <c r="E7" s="1">
        <v>1.0370000000000001E-2</v>
      </c>
      <c r="F7" s="11">
        <f t="shared" ref="F7:F36" si="0">C7*E7</f>
        <v>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3">
        <f t="shared" ref="AL7:AL36" si="1">SUM(G7:AK7)</f>
        <v>0</v>
      </c>
      <c r="AM7" s="24">
        <f t="shared" ref="AM7:AM36" si="2">SUM(C7,AL7)</f>
        <v>0</v>
      </c>
      <c r="AN7" s="25">
        <f t="shared" ref="AN7:AN36" si="3">E7*AM7</f>
        <v>0</v>
      </c>
    </row>
    <row r="8" spans="1:40" ht="22.5" customHeight="1" x14ac:dyDescent="0.3">
      <c r="A8" s="8">
        <v>14279</v>
      </c>
      <c r="B8" s="9" t="s">
        <v>9</v>
      </c>
      <c r="C8" s="12"/>
      <c r="D8" s="10" t="s">
        <v>8</v>
      </c>
      <c r="E8" s="1">
        <v>1.15E-2</v>
      </c>
      <c r="F8" s="11">
        <f t="shared" si="0"/>
        <v>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3">
        <f t="shared" si="1"/>
        <v>0</v>
      </c>
      <c r="AM8" s="24">
        <f t="shared" si="2"/>
        <v>0</v>
      </c>
      <c r="AN8" s="25">
        <f t="shared" si="3"/>
        <v>0</v>
      </c>
    </row>
    <row r="9" spans="1:40" ht="22.5" customHeight="1" x14ac:dyDescent="0.3">
      <c r="A9" s="8">
        <v>582</v>
      </c>
      <c r="B9" s="9" t="s">
        <v>10</v>
      </c>
      <c r="C9" s="12"/>
      <c r="D9" s="10" t="s">
        <v>11</v>
      </c>
      <c r="E9" s="1">
        <v>3.6656629999999999</v>
      </c>
      <c r="F9" s="11">
        <f t="shared" si="0"/>
        <v>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3">
        <f t="shared" si="1"/>
        <v>0</v>
      </c>
      <c r="AM9" s="24">
        <f t="shared" si="2"/>
        <v>0</v>
      </c>
      <c r="AN9" s="25">
        <f t="shared" si="3"/>
        <v>0</v>
      </c>
    </row>
    <row r="10" spans="1:40" ht="22.5" customHeight="1" x14ac:dyDescent="0.3">
      <c r="A10" s="8">
        <v>29084</v>
      </c>
      <c r="B10" s="9" t="s">
        <v>12</v>
      </c>
      <c r="C10" s="12"/>
      <c r="D10" s="10" t="s">
        <v>13</v>
      </c>
      <c r="E10" s="1">
        <v>4.38</v>
      </c>
      <c r="F10" s="11">
        <f t="shared" si="0"/>
        <v>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3">
        <f t="shared" si="1"/>
        <v>0</v>
      </c>
      <c r="AM10" s="24">
        <f t="shared" si="2"/>
        <v>0</v>
      </c>
      <c r="AN10" s="25">
        <f t="shared" si="3"/>
        <v>0</v>
      </c>
    </row>
    <row r="11" spans="1:40" ht="22.5" customHeight="1" x14ac:dyDescent="0.3">
      <c r="A11" s="8">
        <v>583</v>
      </c>
      <c r="B11" s="9" t="s">
        <v>14</v>
      </c>
      <c r="C11" s="12"/>
      <c r="D11" s="10" t="s">
        <v>11</v>
      </c>
      <c r="E11" s="1">
        <v>3.26</v>
      </c>
      <c r="F11" s="11">
        <f t="shared" si="0"/>
        <v>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3">
        <f t="shared" si="1"/>
        <v>0</v>
      </c>
      <c r="AM11" s="24">
        <f t="shared" si="2"/>
        <v>0</v>
      </c>
      <c r="AN11" s="25">
        <f t="shared" si="3"/>
        <v>0</v>
      </c>
    </row>
    <row r="12" spans="1:40" ht="22.5" customHeight="1" x14ac:dyDescent="0.3">
      <c r="A12" s="8">
        <v>4835</v>
      </c>
      <c r="B12" s="9" t="s">
        <v>15</v>
      </c>
      <c r="C12" s="12">
        <v>4</v>
      </c>
      <c r="D12" s="10" t="s">
        <v>16</v>
      </c>
      <c r="E12" s="1">
        <v>1.0064930000000001</v>
      </c>
      <c r="F12" s="11">
        <f t="shared" si="0"/>
        <v>4.0259720000000003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3">
        <f t="shared" si="1"/>
        <v>0</v>
      </c>
      <c r="AM12" s="24">
        <f t="shared" si="2"/>
        <v>4</v>
      </c>
      <c r="AN12" s="25">
        <f t="shared" si="3"/>
        <v>4.0259720000000003</v>
      </c>
    </row>
    <row r="13" spans="1:40" ht="22.5" customHeight="1" x14ac:dyDescent="0.3">
      <c r="A13" s="8">
        <v>27593</v>
      </c>
      <c r="B13" s="9" t="s">
        <v>17</v>
      </c>
      <c r="C13" s="12"/>
      <c r="D13" s="10" t="s">
        <v>18</v>
      </c>
      <c r="E13" s="1">
        <v>34.4</v>
      </c>
      <c r="F13" s="11">
        <f t="shared" si="0"/>
        <v>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3">
        <f t="shared" si="1"/>
        <v>0</v>
      </c>
      <c r="AM13" s="24">
        <f t="shared" si="2"/>
        <v>0</v>
      </c>
      <c r="AN13" s="25">
        <f t="shared" si="3"/>
        <v>0</v>
      </c>
    </row>
    <row r="14" spans="1:40" ht="22.5" customHeight="1" x14ac:dyDescent="0.3">
      <c r="A14" s="8">
        <v>27594</v>
      </c>
      <c r="B14" s="9" t="s">
        <v>19</v>
      </c>
      <c r="C14" s="12"/>
      <c r="D14" s="10" t="s">
        <v>18</v>
      </c>
      <c r="E14" s="1">
        <v>34.4</v>
      </c>
      <c r="F14" s="11">
        <f t="shared" si="0"/>
        <v>0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3">
        <f t="shared" si="1"/>
        <v>0</v>
      </c>
      <c r="AM14" s="24">
        <f t="shared" si="2"/>
        <v>0</v>
      </c>
      <c r="AN14" s="25">
        <f t="shared" si="3"/>
        <v>0</v>
      </c>
    </row>
    <row r="15" spans="1:40" ht="22.5" customHeight="1" x14ac:dyDescent="0.3">
      <c r="A15" s="8">
        <v>981168</v>
      </c>
      <c r="B15" s="9" t="s">
        <v>20</v>
      </c>
      <c r="C15" s="12"/>
      <c r="D15" s="10" t="s">
        <v>18</v>
      </c>
      <c r="E15" s="1">
        <v>34.4</v>
      </c>
      <c r="F15" s="11">
        <f t="shared" si="0"/>
        <v>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3">
        <f t="shared" si="1"/>
        <v>0</v>
      </c>
      <c r="AM15" s="24">
        <f t="shared" si="2"/>
        <v>0</v>
      </c>
      <c r="AN15" s="25">
        <f t="shared" si="3"/>
        <v>0</v>
      </c>
    </row>
    <row r="16" spans="1:40" ht="22.5" customHeight="1" x14ac:dyDescent="0.3">
      <c r="A16" s="8">
        <v>24683</v>
      </c>
      <c r="B16" s="9" t="s">
        <v>21</v>
      </c>
      <c r="C16" s="12"/>
      <c r="D16" s="10" t="s">
        <v>22</v>
      </c>
      <c r="E16" s="1">
        <v>0.94</v>
      </c>
      <c r="F16" s="11">
        <f t="shared" si="0"/>
        <v>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3">
        <f t="shared" si="1"/>
        <v>0</v>
      </c>
      <c r="AM16" s="24">
        <f t="shared" si="2"/>
        <v>0</v>
      </c>
      <c r="AN16" s="25">
        <f t="shared" si="3"/>
        <v>0</v>
      </c>
    </row>
    <row r="17" spans="1:40" ht="22.5" customHeight="1" x14ac:dyDescent="0.3">
      <c r="A17" s="8">
        <v>17277</v>
      </c>
      <c r="B17" s="9" t="s">
        <v>23</v>
      </c>
      <c r="C17" s="12">
        <v>12</v>
      </c>
      <c r="D17" s="10" t="s">
        <v>16</v>
      </c>
      <c r="E17" s="1">
        <v>1.209042</v>
      </c>
      <c r="F17" s="11">
        <f t="shared" si="0"/>
        <v>14.508503999999999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3">
        <f t="shared" si="1"/>
        <v>0</v>
      </c>
      <c r="AM17" s="24">
        <f t="shared" si="2"/>
        <v>12</v>
      </c>
      <c r="AN17" s="25">
        <f t="shared" si="3"/>
        <v>14.508503999999999</v>
      </c>
    </row>
    <row r="18" spans="1:40" ht="22.5" customHeight="1" x14ac:dyDescent="0.3">
      <c r="A18" s="8">
        <v>10043</v>
      </c>
      <c r="B18" s="9" t="s">
        <v>24</v>
      </c>
      <c r="C18" s="12">
        <v>5</v>
      </c>
      <c r="D18" s="10" t="s">
        <v>16</v>
      </c>
      <c r="E18" s="1">
        <v>1.162183</v>
      </c>
      <c r="F18" s="11">
        <f t="shared" si="0"/>
        <v>5.8109149999999996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3">
        <f t="shared" si="1"/>
        <v>0</v>
      </c>
      <c r="AM18" s="24">
        <f t="shared" si="2"/>
        <v>5</v>
      </c>
      <c r="AN18" s="25">
        <f t="shared" si="3"/>
        <v>5.8109149999999996</v>
      </c>
    </row>
    <row r="19" spans="1:40" ht="22.5" customHeight="1" x14ac:dyDescent="0.3">
      <c r="A19" s="8">
        <v>5919</v>
      </c>
      <c r="B19" s="9" t="s">
        <v>25</v>
      </c>
      <c r="C19" s="12">
        <v>50</v>
      </c>
      <c r="D19" s="10" t="s">
        <v>16</v>
      </c>
      <c r="E19" s="1">
        <v>0.94</v>
      </c>
      <c r="F19" s="11">
        <f t="shared" si="0"/>
        <v>47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3">
        <f t="shared" si="1"/>
        <v>0</v>
      </c>
      <c r="AM19" s="24">
        <f t="shared" si="2"/>
        <v>50</v>
      </c>
      <c r="AN19" s="25">
        <f t="shared" si="3"/>
        <v>47</v>
      </c>
    </row>
    <row r="20" spans="1:40" ht="22.5" customHeight="1" x14ac:dyDescent="0.3">
      <c r="A20" s="8">
        <v>11082</v>
      </c>
      <c r="B20" s="9" t="s">
        <v>26</v>
      </c>
      <c r="C20" s="12">
        <v>7</v>
      </c>
      <c r="D20" s="10" t="s">
        <v>16</v>
      </c>
      <c r="E20" s="1">
        <v>1.146622</v>
      </c>
      <c r="F20" s="11">
        <f t="shared" si="0"/>
        <v>8.0263539999999995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3">
        <f t="shared" si="1"/>
        <v>0</v>
      </c>
      <c r="AM20" s="24">
        <f t="shared" si="2"/>
        <v>7</v>
      </c>
      <c r="AN20" s="25">
        <f t="shared" si="3"/>
        <v>8.0263539999999995</v>
      </c>
    </row>
    <row r="21" spans="1:40" ht="22.5" customHeight="1" x14ac:dyDescent="0.3">
      <c r="A21" s="8">
        <v>503</v>
      </c>
      <c r="B21" s="9" t="s">
        <v>27</v>
      </c>
      <c r="C21" s="12">
        <v>12</v>
      </c>
      <c r="D21" s="10" t="s">
        <v>18</v>
      </c>
      <c r="E21" s="1">
        <v>12.67</v>
      </c>
      <c r="F21" s="11">
        <f t="shared" si="0"/>
        <v>152.04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3">
        <f t="shared" si="1"/>
        <v>0</v>
      </c>
      <c r="AM21" s="24">
        <f t="shared" si="2"/>
        <v>12</v>
      </c>
      <c r="AN21" s="25">
        <f t="shared" si="3"/>
        <v>152.04</v>
      </c>
    </row>
    <row r="22" spans="1:40" ht="22.5" customHeight="1" x14ac:dyDescent="0.3">
      <c r="A22" s="8">
        <v>4135</v>
      </c>
      <c r="B22" s="9" t="s">
        <v>28</v>
      </c>
      <c r="C22" s="12">
        <v>7</v>
      </c>
      <c r="D22" s="10" t="s">
        <v>29</v>
      </c>
      <c r="E22" s="1">
        <v>6.2098969999999998</v>
      </c>
      <c r="F22" s="11">
        <f t="shared" si="0"/>
        <v>43.469279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3">
        <f t="shared" si="1"/>
        <v>0</v>
      </c>
      <c r="AM22" s="24">
        <f t="shared" si="2"/>
        <v>7</v>
      </c>
      <c r="AN22" s="25">
        <f t="shared" si="3"/>
        <v>43.469279</v>
      </c>
    </row>
    <row r="23" spans="1:40" ht="22.5" customHeight="1" x14ac:dyDescent="0.3">
      <c r="A23" s="8">
        <v>986076</v>
      </c>
      <c r="B23" s="9" t="s">
        <v>30</v>
      </c>
      <c r="C23" s="12">
        <v>1</v>
      </c>
      <c r="D23" s="10" t="s">
        <v>8</v>
      </c>
      <c r="E23" s="1">
        <v>47.95</v>
      </c>
      <c r="F23" s="11">
        <f t="shared" si="0"/>
        <v>47.95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3">
        <f t="shared" si="1"/>
        <v>0</v>
      </c>
      <c r="AM23" s="24">
        <f t="shared" si="2"/>
        <v>1</v>
      </c>
      <c r="AN23" s="25">
        <f t="shared" si="3"/>
        <v>47.95</v>
      </c>
    </row>
    <row r="24" spans="1:40" ht="22.5" customHeight="1" x14ac:dyDescent="0.3">
      <c r="A24" s="8">
        <v>23775</v>
      </c>
      <c r="B24" s="9" t="s">
        <v>31</v>
      </c>
      <c r="C24" s="12">
        <v>60</v>
      </c>
      <c r="D24" s="10" t="s">
        <v>8</v>
      </c>
      <c r="E24" s="1">
        <v>7.4038000000000007E-2</v>
      </c>
      <c r="F24" s="11">
        <f t="shared" si="0"/>
        <v>4.4422800000000002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3">
        <f t="shared" si="1"/>
        <v>0</v>
      </c>
      <c r="AM24" s="24">
        <f t="shared" si="2"/>
        <v>60</v>
      </c>
      <c r="AN24" s="25">
        <f t="shared" si="3"/>
        <v>4.4422800000000002</v>
      </c>
    </row>
    <row r="25" spans="1:40" ht="22.5" customHeight="1" x14ac:dyDescent="0.3">
      <c r="A25" s="8">
        <v>23773</v>
      </c>
      <c r="B25" s="9" t="s">
        <v>32</v>
      </c>
      <c r="C25" s="12">
        <v>10</v>
      </c>
      <c r="D25" s="10" t="s">
        <v>8</v>
      </c>
      <c r="E25" s="1">
        <v>7.1868000000000001E-2</v>
      </c>
      <c r="F25" s="11">
        <f t="shared" si="0"/>
        <v>0.71867999999999999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3">
        <f t="shared" si="1"/>
        <v>0</v>
      </c>
      <c r="AM25" s="24">
        <f t="shared" si="2"/>
        <v>10</v>
      </c>
      <c r="AN25" s="25">
        <f t="shared" si="3"/>
        <v>0.71867999999999999</v>
      </c>
    </row>
    <row r="26" spans="1:40" ht="22.5" customHeight="1" x14ac:dyDescent="0.3">
      <c r="A26" s="8">
        <v>23874</v>
      </c>
      <c r="B26" s="9" t="s">
        <v>33</v>
      </c>
      <c r="C26" s="12">
        <v>0</v>
      </c>
      <c r="D26" s="10" t="s">
        <v>8</v>
      </c>
      <c r="E26" s="1">
        <v>8.2503000000000007E-2</v>
      </c>
      <c r="F26" s="11">
        <f t="shared" si="0"/>
        <v>0</v>
      </c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3">
        <f t="shared" si="1"/>
        <v>0</v>
      </c>
      <c r="AM26" s="24">
        <f t="shared" si="2"/>
        <v>0</v>
      </c>
      <c r="AN26" s="25">
        <f t="shared" si="3"/>
        <v>0</v>
      </c>
    </row>
    <row r="27" spans="1:40" ht="22.5" customHeight="1" x14ac:dyDescent="0.3">
      <c r="A27" s="8">
        <v>28431</v>
      </c>
      <c r="B27" s="9" t="s">
        <v>34</v>
      </c>
      <c r="C27" s="12">
        <v>1</v>
      </c>
      <c r="D27" s="10" t="s">
        <v>13</v>
      </c>
      <c r="E27" s="1">
        <v>10.1</v>
      </c>
      <c r="F27" s="11">
        <f t="shared" si="0"/>
        <v>10.1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3">
        <f t="shared" si="1"/>
        <v>0</v>
      </c>
      <c r="AM27" s="24">
        <f t="shared" si="2"/>
        <v>1</v>
      </c>
      <c r="AN27" s="25">
        <f t="shared" si="3"/>
        <v>10.1</v>
      </c>
    </row>
    <row r="28" spans="1:40" ht="22.5" customHeight="1" x14ac:dyDescent="0.3">
      <c r="A28" s="8">
        <v>28414</v>
      </c>
      <c r="B28" s="9" t="s">
        <v>35</v>
      </c>
      <c r="C28" s="12"/>
      <c r="D28" s="10" t="s">
        <v>13</v>
      </c>
      <c r="E28" s="1">
        <v>10.98</v>
      </c>
      <c r="F28" s="11">
        <f t="shared" si="0"/>
        <v>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3">
        <f t="shared" si="1"/>
        <v>0</v>
      </c>
      <c r="AM28" s="24">
        <f t="shared" si="2"/>
        <v>0</v>
      </c>
      <c r="AN28" s="25">
        <f t="shared" si="3"/>
        <v>0</v>
      </c>
    </row>
    <row r="29" spans="1:40" ht="22.5" customHeight="1" x14ac:dyDescent="0.3">
      <c r="A29" s="8">
        <v>28371</v>
      </c>
      <c r="B29" s="9" t="s">
        <v>36</v>
      </c>
      <c r="C29" s="12"/>
      <c r="D29" s="10" t="s">
        <v>13</v>
      </c>
      <c r="E29" s="1">
        <v>10.88</v>
      </c>
      <c r="F29" s="11">
        <f t="shared" si="0"/>
        <v>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3">
        <f t="shared" si="1"/>
        <v>0</v>
      </c>
      <c r="AM29" s="24">
        <f t="shared" si="2"/>
        <v>0</v>
      </c>
      <c r="AN29" s="25">
        <f t="shared" si="3"/>
        <v>0</v>
      </c>
    </row>
    <row r="30" spans="1:40" ht="22.5" customHeight="1" x14ac:dyDescent="0.3">
      <c r="A30" s="8">
        <v>28416</v>
      </c>
      <c r="B30" s="9" t="s">
        <v>37</v>
      </c>
      <c r="C30" s="12">
        <v>1.5</v>
      </c>
      <c r="D30" s="10" t="s">
        <v>13</v>
      </c>
      <c r="E30" s="1">
        <v>10.67</v>
      </c>
      <c r="F30" s="11">
        <f t="shared" si="0"/>
        <v>16.004999999999999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>
        <f t="shared" si="1"/>
        <v>0</v>
      </c>
      <c r="AM30" s="24">
        <f t="shared" si="2"/>
        <v>1.5</v>
      </c>
      <c r="AN30" s="25">
        <f t="shared" si="3"/>
        <v>16.004999999999999</v>
      </c>
    </row>
    <row r="31" spans="1:40" ht="22.5" customHeight="1" x14ac:dyDescent="0.3">
      <c r="A31" s="8">
        <v>12196</v>
      </c>
      <c r="B31" s="9" t="s">
        <v>38</v>
      </c>
      <c r="C31" s="12"/>
      <c r="D31" s="10" t="s">
        <v>13</v>
      </c>
      <c r="E31" s="1">
        <v>10.34</v>
      </c>
      <c r="F31" s="11">
        <f t="shared" si="0"/>
        <v>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3">
        <f t="shared" si="1"/>
        <v>0</v>
      </c>
      <c r="AM31" s="24">
        <f t="shared" si="2"/>
        <v>0</v>
      </c>
      <c r="AN31" s="25">
        <f t="shared" si="3"/>
        <v>0</v>
      </c>
    </row>
    <row r="32" spans="1:40" ht="22.5" customHeight="1" x14ac:dyDescent="0.3">
      <c r="A32" s="8">
        <v>28370</v>
      </c>
      <c r="B32" s="9" t="s">
        <v>39</v>
      </c>
      <c r="C32" s="12"/>
      <c r="D32" s="10" t="s">
        <v>13</v>
      </c>
      <c r="E32" s="1">
        <v>10.49</v>
      </c>
      <c r="F32" s="11">
        <f t="shared" si="0"/>
        <v>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3">
        <f t="shared" si="1"/>
        <v>0</v>
      </c>
      <c r="AM32" s="24">
        <f t="shared" si="2"/>
        <v>0</v>
      </c>
      <c r="AN32" s="25">
        <f t="shared" si="3"/>
        <v>0</v>
      </c>
    </row>
    <row r="33" spans="1:40" ht="22.5" customHeight="1" x14ac:dyDescent="0.3">
      <c r="A33" s="8">
        <v>12438</v>
      </c>
      <c r="B33" s="9" t="s">
        <v>40</v>
      </c>
      <c r="C33" s="12">
        <v>0.5</v>
      </c>
      <c r="D33" s="10" t="s">
        <v>13</v>
      </c>
      <c r="E33" s="1">
        <v>11.09</v>
      </c>
      <c r="F33" s="11">
        <f t="shared" si="0"/>
        <v>5.5449999999999999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3">
        <f t="shared" si="1"/>
        <v>0</v>
      </c>
      <c r="AM33" s="24">
        <f t="shared" si="2"/>
        <v>0.5</v>
      </c>
      <c r="AN33" s="25">
        <f t="shared" si="3"/>
        <v>5.5449999999999999</v>
      </c>
    </row>
    <row r="34" spans="1:40" ht="22.5" customHeight="1" x14ac:dyDescent="0.3">
      <c r="A34" s="8">
        <v>962370</v>
      </c>
      <c r="B34" s="9" t="s">
        <v>41</v>
      </c>
      <c r="C34" s="12"/>
      <c r="D34" s="10" t="s">
        <v>13</v>
      </c>
      <c r="E34" s="1">
        <v>16.68</v>
      </c>
      <c r="F34" s="11">
        <f t="shared" si="0"/>
        <v>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3">
        <f t="shared" si="1"/>
        <v>0</v>
      </c>
      <c r="AM34" s="24">
        <f t="shared" si="2"/>
        <v>0</v>
      </c>
      <c r="AN34" s="25">
        <f t="shared" si="3"/>
        <v>0</v>
      </c>
    </row>
    <row r="35" spans="1:40" ht="22.5" customHeight="1" x14ac:dyDescent="0.3">
      <c r="A35" s="8">
        <v>14099</v>
      </c>
      <c r="B35" s="9" t="s">
        <v>42</v>
      </c>
      <c r="C35" s="12"/>
      <c r="D35" s="10" t="s">
        <v>13</v>
      </c>
      <c r="E35" s="1">
        <v>16.89</v>
      </c>
      <c r="F35" s="11">
        <f t="shared" si="0"/>
        <v>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3">
        <f t="shared" si="1"/>
        <v>0</v>
      </c>
      <c r="AM35" s="24">
        <f t="shared" si="2"/>
        <v>0</v>
      </c>
      <c r="AN35" s="25">
        <f t="shared" si="3"/>
        <v>0</v>
      </c>
    </row>
    <row r="36" spans="1:40" ht="22.5" customHeight="1" x14ac:dyDescent="0.3">
      <c r="A36" s="8">
        <v>22567</v>
      </c>
      <c r="B36" s="9" t="s">
        <v>43</v>
      </c>
      <c r="C36" s="12"/>
      <c r="D36" s="10" t="s">
        <v>13</v>
      </c>
      <c r="E36" s="1">
        <v>19.89</v>
      </c>
      <c r="F36" s="11">
        <f t="shared" si="0"/>
        <v>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3">
        <f t="shared" si="1"/>
        <v>0</v>
      </c>
      <c r="AM36" s="24">
        <f t="shared" si="2"/>
        <v>0</v>
      </c>
      <c r="AN36" s="25">
        <f t="shared" si="3"/>
        <v>0</v>
      </c>
    </row>
    <row r="37" spans="1:40" ht="15.75" customHeight="1" x14ac:dyDescent="0.3">
      <c r="E37" s="13" t="s">
        <v>44</v>
      </c>
      <c r="F37" s="14">
        <f>SUM(F7:F36)</f>
        <v>359.64198400000004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15">
        <f>SUM(AN7:AN36)</f>
        <v>359.64198400000004</v>
      </c>
    </row>
    <row r="38" spans="1:40" ht="15.75" customHeight="1" x14ac:dyDescent="0.3"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15.75" customHeight="1" x14ac:dyDescent="0.3"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</row>
    <row r="40" spans="1:40" ht="15.75" customHeight="1" x14ac:dyDescent="0.3"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ht="15.75" customHeight="1" x14ac:dyDescent="0.3"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</row>
    <row r="42" spans="1:40" ht="15.75" customHeight="1" x14ac:dyDescent="0.3"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ht="15.75" customHeight="1" x14ac:dyDescent="0.3"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</row>
    <row r="44" spans="1:40" ht="15.75" customHeight="1" x14ac:dyDescent="0.3"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spans="1:40" ht="15.75" customHeight="1" x14ac:dyDescent="0.3"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</row>
    <row r="46" spans="1:40" ht="15.75" customHeight="1" x14ac:dyDescent="0.3"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spans="1:40" ht="15.75" customHeight="1" x14ac:dyDescent="0.3"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</row>
    <row r="48" spans="1:40" ht="15.75" customHeight="1" x14ac:dyDescent="0.3"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spans="5:40" ht="15.75" customHeight="1" x14ac:dyDescent="0.3"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</row>
    <row r="50" spans="5:40" ht="15.75" customHeight="1" x14ac:dyDescent="0.3"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spans="5:40" ht="15.75" customHeight="1" x14ac:dyDescent="0.3"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</row>
    <row r="52" spans="5:40" ht="15.75" customHeight="1" x14ac:dyDescent="0.3"/>
    <row r="53" spans="5:40" ht="15.75" customHeight="1" x14ac:dyDescent="0.3"/>
    <row r="54" spans="5:40" ht="15.75" customHeight="1" x14ac:dyDescent="0.3"/>
    <row r="55" spans="5:40" ht="15.75" customHeight="1" x14ac:dyDescent="0.3"/>
    <row r="56" spans="5:40" ht="15.75" customHeight="1" x14ac:dyDescent="0.3"/>
    <row r="57" spans="5:40" ht="15.75" customHeight="1" x14ac:dyDescent="0.3"/>
    <row r="58" spans="5:40" ht="15.75" customHeight="1" x14ac:dyDescent="0.3"/>
    <row r="59" spans="5:40" ht="15.75" customHeight="1" x14ac:dyDescent="0.3"/>
    <row r="60" spans="5:40" ht="15.75" customHeight="1" x14ac:dyDescent="0.3"/>
    <row r="61" spans="5:40" ht="15.75" customHeight="1" x14ac:dyDescent="0.3"/>
    <row r="62" spans="5:40" ht="15.75" customHeight="1" x14ac:dyDescent="0.3"/>
    <row r="63" spans="5:40" ht="15.75" customHeight="1" x14ac:dyDescent="0.3"/>
    <row r="64" spans="5:4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6:F6" xr:uid="{00000000-0009-0000-0000-000001000000}"/>
  <mergeCells count="2">
    <mergeCell ref="AL5:AL6"/>
    <mergeCell ref="AM5:AM6"/>
  </mergeCells>
  <conditionalFormatting sqref="C7:C36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2026-07-06T15:52:17Z</dcterms:modified>
</cp:coreProperties>
</file>