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ownloads\storage\input\excels\2026\JULIO\"/>
    </mc:Choice>
  </mc:AlternateContent>
  <xr:revisionPtr revIDLastSave="0" documentId="13_ncr:1_{F22C1A4C-EDA7-4D97-AC00-89EC467CB5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2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2" l="1"/>
  <c r="AL40" i="2"/>
  <c r="AM40" i="2" s="1"/>
  <c r="AN40" i="2" s="1"/>
  <c r="F40" i="2"/>
  <c r="AN39" i="2"/>
  <c r="AM39" i="2"/>
  <c r="AL39" i="2"/>
  <c r="F39" i="2"/>
  <c r="AL38" i="2"/>
  <c r="AM38" i="2" s="1"/>
  <c r="AN38" i="2" s="1"/>
  <c r="F38" i="2"/>
  <c r="AL37" i="2"/>
  <c r="AM37" i="2" s="1"/>
  <c r="AN37" i="2" s="1"/>
  <c r="F37" i="2"/>
  <c r="AN36" i="2"/>
  <c r="AM36" i="2"/>
  <c r="AL36" i="2"/>
  <c r="F36" i="2"/>
  <c r="AL35" i="2"/>
  <c r="AM35" i="2" s="1"/>
  <c r="AN35" i="2" s="1"/>
  <c r="F35" i="2"/>
  <c r="AL34" i="2"/>
  <c r="AM34" i="2" s="1"/>
  <c r="AN34" i="2" s="1"/>
  <c r="F34" i="2"/>
  <c r="AN33" i="2"/>
  <c r="AM33" i="2"/>
  <c r="AL33" i="2"/>
  <c r="F33" i="2"/>
  <c r="AL32" i="2"/>
  <c r="AM32" i="2" s="1"/>
  <c r="AN32" i="2" s="1"/>
  <c r="F32" i="2"/>
  <c r="AL31" i="2"/>
  <c r="AM31" i="2" s="1"/>
  <c r="AN31" i="2" s="1"/>
  <c r="F31" i="2"/>
  <c r="AN30" i="2"/>
  <c r="AM30" i="2"/>
  <c r="AL30" i="2"/>
  <c r="F30" i="2"/>
  <c r="AL29" i="2"/>
  <c r="AM29" i="2" s="1"/>
  <c r="AN29" i="2" s="1"/>
  <c r="F29" i="2"/>
  <c r="AL28" i="2"/>
  <c r="AM28" i="2" s="1"/>
  <c r="AN28" i="2" s="1"/>
  <c r="F28" i="2"/>
  <c r="AN27" i="2"/>
  <c r="AM27" i="2"/>
  <c r="AL27" i="2"/>
  <c r="F27" i="2"/>
  <c r="AL26" i="2"/>
  <c r="AM26" i="2" s="1"/>
  <c r="AN26" i="2" s="1"/>
  <c r="F26" i="2"/>
  <c r="AL25" i="2"/>
  <c r="AM25" i="2" s="1"/>
  <c r="AN25" i="2" s="1"/>
  <c r="F25" i="2"/>
  <c r="AN24" i="2"/>
  <c r="AM24" i="2"/>
  <c r="AL24" i="2"/>
  <c r="F24" i="2"/>
  <c r="AL23" i="2"/>
  <c r="AM23" i="2" s="1"/>
  <c r="AN23" i="2" s="1"/>
  <c r="F23" i="2"/>
  <c r="AL22" i="2"/>
  <c r="AM22" i="2" s="1"/>
  <c r="AN22" i="2" s="1"/>
  <c r="F22" i="2"/>
  <c r="AN21" i="2"/>
  <c r="AM21" i="2"/>
  <c r="AL21" i="2"/>
  <c r="F21" i="2"/>
  <c r="AL20" i="2"/>
  <c r="AM20" i="2" s="1"/>
  <c r="AN20" i="2" s="1"/>
  <c r="F20" i="2"/>
  <c r="AL19" i="2"/>
  <c r="AM19" i="2" s="1"/>
  <c r="AN19" i="2" s="1"/>
  <c r="F19" i="2"/>
  <c r="AN18" i="2"/>
  <c r="AM18" i="2"/>
  <c r="AL18" i="2"/>
  <c r="F18" i="2"/>
  <c r="AL17" i="2"/>
  <c r="AM17" i="2" s="1"/>
  <c r="AN17" i="2" s="1"/>
  <c r="F17" i="2"/>
  <c r="AL16" i="2"/>
  <c r="AM16" i="2" s="1"/>
  <c r="AN16" i="2" s="1"/>
  <c r="F16" i="2"/>
  <c r="AN15" i="2"/>
  <c r="AM15" i="2"/>
  <c r="AL15" i="2"/>
  <c r="F15" i="2"/>
  <c r="AL14" i="2"/>
  <c r="AM14" i="2" s="1"/>
  <c r="AN14" i="2" s="1"/>
  <c r="F14" i="2"/>
  <c r="AL13" i="2"/>
  <c r="AM13" i="2" s="1"/>
  <c r="AN13" i="2" s="1"/>
  <c r="F13" i="2"/>
  <c r="AN12" i="2"/>
  <c r="AM12" i="2"/>
  <c r="AL12" i="2"/>
  <c r="F12" i="2"/>
  <c r="AL11" i="2"/>
  <c r="AM11" i="2" s="1"/>
  <c r="AN11" i="2" s="1"/>
  <c r="F11" i="2"/>
  <c r="AL10" i="2"/>
  <c r="AM10" i="2" s="1"/>
  <c r="AN10" i="2" s="1"/>
  <c r="F10" i="2"/>
  <c r="AN9" i="2"/>
  <c r="AM9" i="2"/>
  <c r="AL9" i="2"/>
  <c r="F9" i="2"/>
  <c r="AL8" i="2"/>
  <c r="AM8" i="2" s="1"/>
  <c r="AN8" i="2" s="1"/>
  <c r="F8" i="2"/>
  <c r="AL7" i="2"/>
  <c r="AM7" i="2" s="1"/>
  <c r="F7" i="2"/>
  <c r="F41" i="2" s="1"/>
  <c r="AM41" i="2" l="1"/>
  <c r="AN7" i="2"/>
  <c r="AN41" i="2" s="1"/>
</calcChain>
</file>

<file path=xl/sharedStrings.xml><?xml version="1.0" encoding="utf-8"?>
<sst xmlns="http://schemas.openxmlformats.org/spreadsheetml/2006/main" count="111" uniqueCount="60">
  <si>
    <t>GENERALES</t>
  </si>
  <si>
    <t>Cód.Art.</t>
  </si>
  <si>
    <t>Artículo</t>
  </si>
  <si>
    <t>Cnt.Stk.</t>
  </si>
  <si>
    <t>Frm.Stk.</t>
  </si>
  <si>
    <t>Prc.Med.EUR</t>
  </si>
  <si>
    <t>Total EUR</t>
  </si>
  <si>
    <t>GAS CARBONICO CO2 MIXTO</t>
  </si>
  <si>
    <t>KILO</t>
  </si>
  <si>
    <t>SERVILLETA 20X20 2C ECO 100 UDS</t>
  </si>
  <si>
    <t>PAQUETE</t>
  </si>
  <si>
    <t>SERVILLETA 30X40 PP 1/6 ECO 100 UDS</t>
  </si>
  <si>
    <t>SERVILLETA 40X40 1C DRY TISSUE S/LOGO TURQUESA 50 UDS</t>
  </si>
  <si>
    <t>SERVILLETA CANGURO S/LOGO 40X40 CM 50 UDS</t>
  </si>
  <si>
    <t>ROLLO PAPEL SECAMANOS BCO 180 MT</t>
  </si>
  <si>
    <t>ROLLO</t>
  </si>
  <si>
    <t>SP SUMA GRILL CONC. D9 10 LT</t>
  </si>
  <si>
    <t>LITRO</t>
  </si>
  <si>
    <t xml:space="preserve">SUMA BREAK UP D3.5 10 LT    </t>
  </si>
  <si>
    <t>SUMA CHLOR D4.4 5 LT</t>
  </si>
  <si>
    <t>SUMA CHLORDES CONC D10.45 TASA 20 LT</t>
  </si>
  <si>
    <t>SUMA DIP K1 5 LT</t>
  </si>
  <si>
    <t>SUMA RINSE A5 20 LT</t>
  </si>
  <si>
    <t>SUMA SCALE D5.2 5 LT</t>
  </si>
  <si>
    <t>SUMA ULTRA L2 20 L</t>
  </si>
  <si>
    <t>CIF PF OXYGEL OCEAN 5 LT</t>
  </si>
  <si>
    <t>BOLSA BASURA AZUL BIO 100% 90X110 120 LT GALGA 105 10 UDS</t>
  </si>
  <si>
    <t>ESTROPAJO FIBRA VERDE</t>
  </si>
  <si>
    <t>UNIDAD</t>
  </si>
  <si>
    <t>GUANTES NITRILO AZUL T/L 100 UDS</t>
  </si>
  <si>
    <t>MAIZ ABRILLANTADOR PULIDORA</t>
  </si>
  <si>
    <t>GAMUZA MICROTUFF SWIFT AZUL 35X40 CM</t>
  </si>
  <si>
    <t>GAMUZA MICROTUFF SWIFT VERDE 35X40 CM</t>
  </si>
  <si>
    <t>ROLLO BAYETA AMARILLA 8 MTS</t>
  </si>
  <si>
    <t>ENVASE BARRIL CERVEZA</t>
  </si>
  <si>
    <t>BARRIL</t>
  </si>
  <si>
    <t>BOTELLA RETORNO AGUA 50 CL</t>
  </si>
  <si>
    <t>BOTELLA</t>
  </si>
  <si>
    <t>BOTELLA RETORNO CERVEZA</t>
  </si>
  <si>
    <t>BOTELLA RETORNO REFRESCO 20 CL</t>
  </si>
  <si>
    <t>CESTOS PLASTICO AGUA 50 CL</t>
  </si>
  <si>
    <t>CESTOS PLASTICO CERVEZA</t>
  </si>
  <si>
    <t>CESTOS PLASTICO REFRESCO</t>
  </si>
  <si>
    <t>BOTELLA ACERO INOX IBS WAVES COLA DE PEZ 79 CL</t>
  </si>
  <si>
    <t>AURICULARES PROTECCION EN 352-1</t>
  </si>
  <si>
    <t>GAFAS PROTECCION ACETATO ANTIVAHO</t>
  </si>
  <si>
    <t>GUANTE ANTICORTE NIVEL D T-9</t>
  </si>
  <si>
    <t>GUANTES PIEL LIGEROS EN 388 T 10</t>
  </si>
  <si>
    <t>ESTOCAJE  INICIAL</t>
  </si>
  <si>
    <t>junio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</si>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</sst>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scheme val="minor"/>
    </font>
    <font>
      <sz val="11"/>
      <color rgb="FF000000"/>
      <name val="Calibri"/>
    </font>
    <font>
      <b/>
      <sz val="16"/>
      <color theme="1"/>
      <name val="Calibri"/>
      <scheme val="minor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7"/>
      <color theme="1"/>
      <name val="Calibri"/>
    </font>
    <font>
      <sz val="29"/>
      <color theme="1"/>
      <name val="Calibri"/>
    </font>
    <font>
      <sz val="11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b/>
      <sz val="11"/>
      <color theme="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4" fontId="1" fillId="0" borderId="0" xfId="0" applyNumberFormat="1" applyFont="1"/>
    <xf numFmtId="0" fontId="2" fillId="0" borderId="0" xfId="0" applyFont="1" applyAlignment="1">
      <alignment horizontal="center"/>
    </xf>
    <xf numFmtId="0" fontId="3" fillId="2" borderId="1" xfId="0" applyFont="1" applyFill="1" applyBorder="1"/>
    <xf numFmtId="0" fontId="3" fillId="3" borderId="2" xfId="0" applyFont="1" applyFill="1" applyBorder="1"/>
    <xf numFmtId="0" fontId="3" fillId="3" borderId="1" xfId="0" applyFont="1" applyFill="1" applyBorder="1"/>
    <xf numFmtId="4" fontId="3" fillId="3" borderId="3" xfId="0" applyNumberFormat="1" applyFont="1" applyFill="1" applyBorder="1"/>
    <xf numFmtId="0" fontId="4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4" fontId="1" fillId="4" borderId="0" xfId="0" applyNumberFormat="1" applyFont="1" applyFill="1"/>
    <xf numFmtId="0" fontId="6" fillId="0" borderId="0" xfId="0" applyFont="1"/>
    <xf numFmtId="0" fontId="5" fillId="6" borderId="0" xfId="0" applyFont="1" applyFill="1"/>
    <xf numFmtId="4" fontId="1" fillId="6" borderId="0" xfId="0" applyNumberFormat="1" applyFont="1" applyFill="1"/>
    <xf numFmtId="0" fontId="6" fillId="7" borderId="0" xfId="0" applyFont="1" applyFill="1"/>
    <xf numFmtId="0" fontId="7" fillId="3" borderId="0" xfId="0" applyFont="1" applyFill="1"/>
    <xf numFmtId="4" fontId="4" fillId="0" borderId="4" xfId="0" applyNumberFormat="1" applyFont="1" applyBorder="1" applyAlignment="1">
      <alignment horizontal="right"/>
    </xf>
    <xf numFmtId="0" fontId="4" fillId="8" borderId="0" xfId="0" applyFont="1" applyFill="1"/>
    <xf numFmtId="0" fontId="10" fillId="9" borderId="7" xfId="0" applyFont="1" applyFill="1" applyBorder="1" applyAlignment="1">
      <alignment horizontal="center"/>
    </xf>
    <xf numFmtId="0" fontId="10" fillId="10" borderId="7" xfId="0" applyFont="1" applyFill="1" applyBorder="1" applyAlignment="1">
      <alignment horizontal="center"/>
    </xf>
    <xf numFmtId="0" fontId="10" fillId="9" borderId="4" xfId="0" applyFont="1" applyFill="1" applyBorder="1" applyAlignment="1">
      <alignment horizontal="center"/>
    </xf>
    <xf numFmtId="0" fontId="10" fillId="9" borderId="6" xfId="0" applyFont="1" applyFill="1" applyBorder="1" applyAlignment="1">
      <alignment horizontal="center"/>
    </xf>
    <xf numFmtId="2" fontId="4" fillId="9" borderId="7" xfId="0" applyNumberFormat="1" applyFont="1" applyFill="1" applyBorder="1"/>
    <xf numFmtId="2" fontId="10" fillId="9" borderId="7" xfId="0" applyNumberFormat="1" applyFont="1" applyFill="1" applyBorder="1" applyAlignment="1">
      <alignment horizontal="center"/>
    </xf>
    <xf numFmtId="0" fontId="4" fillId="0" borderId="4" xfId="0" applyFont="1" applyBorder="1"/>
    <xf numFmtId="0" fontId="4" fillId="5" borderId="10" xfId="0" applyFont="1" applyFill="1" applyBorder="1" applyAlignment="1">
      <alignment horizontal="right"/>
    </xf>
    <xf numFmtId="0" fontId="4" fillId="0" borderId="10" xfId="0" applyFont="1" applyBorder="1" applyAlignment="1">
      <alignment horizontal="right"/>
    </xf>
    <xf numFmtId="2" fontId="13" fillId="11" borderId="4" xfId="0" applyNumberFormat="1" applyFont="1" applyFill="1" applyBorder="1" applyAlignment="1">
      <alignment horizontal="right"/>
    </xf>
    <xf numFmtId="4" fontId="4" fillId="0" borderId="4" xfId="0" applyNumberFormat="1" applyFont="1" applyBorder="1"/>
    <xf numFmtId="2" fontId="6" fillId="0" borderId="0" xfId="0" applyNumberFormat="1" applyFont="1"/>
    <xf numFmtId="0" fontId="8" fillId="8" borderId="5" xfId="0" applyFont="1" applyFill="1" applyBorder="1" applyAlignment="1">
      <alignment horizontal="center"/>
    </xf>
    <xf numFmtId="0" fontId="9" fillId="0" borderId="6" xfId="0" applyFont="1" applyBorder="1"/>
    <xf numFmtId="0" fontId="9" fillId="0" borderId="7" xfId="0" applyFont="1" applyBorder="1"/>
    <xf numFmtId="0" fontId="11" fillId="9" borderId="8" xfId="0" applyFont="1" applyFill="1" applyBorder="1" applyAlignment="1">
      <alignment horizontal="center"/>
    </xf>
    <xf numFmtId="0" fontId="9" fillId="0" borderId="9" xfId="0" applyFont="1" applyBorder="1"/>
    <xf numFmtId="0" fontId="12" fillId="9" borderId="8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0075" cy="628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1"/>
  <sheetViews>
    <sheetView tabSelected="1" workbookViewId="0">
      <selection activeCell="B13" sqref="B13"/>
    </sheetView>
  </sheetViews>
  <sheetFormatPr baseColWidth="10" defaultColWidth="14.44140625" defaultRowHeight="15" customHeight="1" x14ac:dyDescent="0.3"/>
  <cols>
    <col min="1" max="1" width="7.6640625" customWidth="1"/>
    <col min="2" max="2" width="56.6640625" customWidth="1"/>
    <col min="3" max="3" width="6.6640625" customWidth="1"/>
    <col min="4" max="4" width="8.6640625" customWidth="1"/>
    <col min="5" max="5" width="11.6640625" customWidth="1"/>
    <col min="6" max="6" width="10.6640625" customWidth="1"/>
    <col min="7" max="37" width="4.5546875" customWidth="1"/>
    <col min="38" max="38" width="10.5546875" customWidth="1"/>
    <col min="39" max="39" width="12.5546875" customWidth="1"/>
    <col min="40" max="40" width="12.109375" customWidth="1"/>
  </cols>
  <sheetData>
    <row r="1" spans="1:40" ht="14.4" x14ac:dyDescent="0.3">
      <c r="E1" s="1"/>
      <c r="F1" s="1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</row>
    <row r="2" spans="1:40" ht="14.4" x14ac:dyDescent="0.3">
      <c r="E2" s="1"/>
      <c r="F2" s="1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</row>
    <row r="3" spans="1:40" ht="37.200000000000003" x14ac:dyDescent="0.7">
      <c r="E3" s="1"/>
      <c r="F3" s="1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30" t="s">
        <v>49</v>
      </c>
      <c r="V3" s="31"/>
      <c r="W3" s="31"/>
      <c r="X3" s="31"/>
      <c r="Y3" s="31"/>
      <c r="Z3" s="32"/>
      <c r="AA3" s="17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</row>
    <row r="4" spans="1:40" ht="23.25" customHeight="1" x14ac:dyDescent="0.4">
      <c r="B4" s="2" t="s">
        <v>0</v>
      </c>
      <c r="E4" s="1"/>
      <c r="F4" s="1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</row>
    <row r="5" spans="1:40" ht="17.399999999999999" x14ac:dyDescent="0.45">
      <c r="E5" s="1"/>
      <c r="F5" s="1"/>
      <c r="G5" s="18" t="s">
        <v>50</v>
      </c>
      <c r="H5" s="18" t="s">
        <v>51</v>
      </c>
      <c r="I5" s="18" t="s">
        <v>52</v>
      </c>
      <c r="J5" s="19" t="s">
        <v>53</v>
      </c>
      <c r="K5" s="19" t="s">
        <v>54</v>
      </c>
      <c r="L5" s="20" t="s">
        <v>55</v>
      </c>
      <c r="M5" s="18" t="s">
        <v>56</v>
      </c>
      <c r="N5" s="18" t="s">
        <v>50</v>
      </c>
      <c r="O5" s="18" t="s">
        <v>51</v>
      </c>
      <c r="P5" s="18" t="s">
        <v>52</v>
      </c>
      <c r="Q5" s="19" t="s">
        <v>53</v>
      </c>
      <c r="R5" s="19" t="s">
        <v>54</v>
      </c>
      <c r="S5" s="20" t="s">
        <v>55</v>
      </c>
      <c r="T5" s="18" t="s">
        <v>56</v>
      </c>
      <c r="U5" s="18" t="s">
        <v>50</v>
      </c>
      <c r="V5" s="18" t="s">
        <v>51</v>
      </c>
      <c r="W5" s="18" t="s">
        <v>52</v>
      </c>
      <c r="X5" s="19" t="s">
        <v>53</v>
      </c>
      <c r="Y5" s="19" t="s">
        <v>54</v>
      </c>
      <c r="Z5" s="20" t="s">
        <v>55</v>
      </c>
      <c r="AA5" s="18" t="s">
        <v>56</v>
      </c>
      <c r="AB5" s="18" t="s">
        <v>50</v>
      </c>
      <c r="AC5" s="18" t="s">
        <v>51</v>
      </c>
      <c r="AD5" s="18" t="s">
        <v>52</v>
      </c>
      <c r="AE5" s="19" t="s">
        <v>53</v>
      </c>
      <c r="AF5" s="19" t="s">
        <v>54</v>
      </c>
      <c r="AG5" s="20" t="s">
        <v>55</v>
      </c>
      <c r="AH5" s="18" t="s">
        <v>56</v>
      </c>
      <c r="AI5" s="18" t="s">
        <v>50</v>
      </c>
      <c r="AJ5" s="18" t="s">
        <v>51</v>
      </c>
      <c r="AK5" s="21" t="s">
        <v>52</v>
      </c>
      <c r="AL5" s="33" t="s">
        <v>57</v>
      </c>
      <c r="AM5" s="35" t="s">
        <v>58</v>
      </c>
      <c r="AN5" s="22"/>
    </row>
    <row r="6" spans="1:40" ht="17.399999999999999" x14ac:dyDescent="0.45">
      <c r="A6" s="3" t="s">
        <v>1</v>
      </c>
      <c r="B6" s="3" t="s">
        <v>2</v>
      </c>
      <c r="C6" s="4" t="s">
        <v>3</v>
      </c>
      <c r="D6" s="5" t="s">
        <v>4</v>
      </c>
      <c r="E6" s="6" t="s">
        <v>5</v>
      </c>
      <c r="F6" s="6" t="s">
        <v>6</v>
      </c>
      <c r="G6" s="18">
        <v>1</v>
      </c>
      <c r="H6" s="18">
        <v>2</v>
      </c>
      <c r="I6" s="18">
        <v>3</v>
      </c>
      <c r="J6" s="19">
        <v>4</v>
      </c>
      <c r="K6" s="19">
        <v>5</v>
      </c>
      <c r="L6" s="18">
        <v>6</v>
      </c>
      <c r="M6" s="18">
        <v>7</v>
      </c>
      <c r="N6" s="18">
        <v>8</v>
      </c>
      <c r="O6" s="18">
        <v>9</v>
      </c>
      <c r="P6" s="18">
        <v>10</v>
      </c>
      <c r="Q6" s="19">
        <v>11</v>
      </c>
      <c r="R6" s="19">
        <v>12</v>
      </c>
      <c r="S6" s="18">
        <v>13</v>
      </c>
      <c r="T6" s="18">
        <v>14</v>
      </c>
      <c r="U6" s="18">
        <v>15</v>
      </c>
      <c r="V6" s="18">
        <v>16</v>
      </c>
      <c r="W6" s="18">
        <v>17</v>
      </c>
      <c r="X6" s="19">
        <v>18</v>
      </c>
      <c r="Y6" s="19">
        <v>19</v>
      </c>
      <c r="Z6" s="18">
        <v>20</v>
      </c>
      <c r="AA6" s="18">
        <v>21</v>
      </c>
      <c r="AB6" s="18">
        <v>22</v>
      </c>
      <c r="AC6" s="18">
        <v>23</v>
      </c>
      <c r="AD6" s="18">
        <v>24</v>
      </c>
      <c r="AE6" s="19">
        <v>25</v>
      </c>
      <c r="AF6" s="19">
        <v>26</v>
      </c>
      <c r="AG6" s="18">
        <v>27</v>
      </c>
      <c r="AH6" s="18">
        <v>28</v>
      </c>
      <c r="AI6" s="18">
        <v>29</v>
      </c>
      <c r="AJ6" s="18">
        <v>30</v>
      </c>
      <c r="AK6" s="21">
        <v>31</v>
      </c>
      <c r="AL6" s="34"/>
      <c r="AM6" s="34"/>
      <c r="AN6" s="23" t="s">
        <v>59</v>
      </c>
    </row>
    <row r="7" spans="1:40" ht="20.25" customHeight="1" x14ac:dyDescent="0.3">
      <c r="A7" s="7">
        <v>8691</v>
      </c>
      <c r="B7" s="8" t="s">
        <v>7</v>
      </c>
      <c r="C7" s="11">
        <v>300</v>
      </c>
      <c r="D7" s="9" t="s">
        <v>8</v>
      </c>
      <c r="E7" s="1">
        <v>5.2524800000000003</v>
      </c>
      <c r="F7" s="10">
        <f t="shared" ref="F7:F40" si="0">C7*E7</f>
        <v>1575.7440000000001</v>
      </c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5">
        <f t="shared" ref="AL7:AL40" si="1">SUM(G7:AK7)</f>
        <v>0</v>
      </c>
      <c r="AM7" s="26">
        <f t="shared" ref="AM7:AM40" si="2">SUM(C7,AL7)</f>
        <v>300</v>
      </c>
      <c r="AN7" s="27">
        <f t="shared" ref="AN7:AN40" si="3">E7*AM7</f>
        <v>1575.7440000000001</v>
      </c>
    </row>
    <row r="8" spans="1:40" ht="20.25" customHeight="1" x14ac:dyDescent="0.3">
      <c r="A8" s="7">
        <v>21675</v>
      </c>
      <c r="B8" s="8" t="s">
        <v>9</v>
      </c>
      <c r="C8" s="11">
        <v>0</v>
      </c>
      <c r="D8" s="9" t="s">
        <v>10</v>
      </c>
      <c r="E8" s="1">
        <v>0.55016500000000002</v>
      </c>
      <c r="F8" s="10">
        <f t="shared" si="0"/>
        <v>0</v>
      </c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5">
        <f t="shared" si="1"/>
        <v>0</v>
      </c>
      <c r="AM8" s="26">
        <f t="shared" si="2"/>
        <v>0</v>
      </c>
      <c r="AN8" s="27">
        <f t="shared" si="3"/>
        <v>0</v>
      </c>
    </row>
    <row r="9" spans="1:40" ht="20.25" customHeight="1" x14ac:dyDescent="0.3">
      <c r="A9" s="7">
        <v>23290</v>
      </c>
      <c r="B9" s="8" t="s">
        <v>11</v>
      </c>
      <c r="C9" s="11">
        <v>10</v>
      </c>
      <c r="D9" s="9" t="s">
        <v>10</v>
      </c>
      <c r="E9" s="1">
        <v>1.35</v>
      </c>
      <c r="F9" s="10">
        <f t="shared" si="0"/>
        <v>13.5</v>
      </c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5">
        <f t="shared" si="1"/>
        <v>0</v>
      </c>
      <c r="AM9" s="26">
        <f t="shared" si="2"/>
        <v>10</v>
      </c>
      <c r="AN9" s="27">
        <f t="shared" si="3"/>
        <v>13.5</v>
      </c>
    </row>
    <row r="10" spans="1:40" ht="20.25" customHeight="1" x14ac:dyDescent="0.3">
      <c r="A10" s="7">
        <v>3026</v>
      </c>
      <c r="B10" s="8" t="s">
        <v>12</v>
      </c>
      <c r="C10" s="11">
        <v>0</v>
      </c>
      <c r="D10" s="9" t="s">
        <v>10</v>
      </c>
      <c r="E10" s="1">
        <v>3.8420999999999998</v>
      </c>
      <c r="F10" s="10">
        <f t="shared" si="0"/>
        <v>0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5">
        <f t="shared" si="1"/>
        <v>0</v>
      </c>
      <c r="AM10" s="26">
        <f t="shared" si="2"/>
        <v>0</v>
      </c>
      <c r="AN10" s="27">
        <f t="shared" si="3"/>
        <v>0</v>
      </c>
    </row>
    <row r="11" spans="1:40" ht="20.25" customHeight="1" x14ac:dyDescent="0.3">
      <c r="A11" s="7">
        <v>19982</v>
      </c>
      <c r="B11" s="8" t="s">
        <v>13</v>
      </c>
      <c r="C11" s="11">
        <v>0</v>
      </c>
      <c r="D11" s="9" t="s">
        <v>10</v>
      </c>
      <c r="E11" s="1">
        <v>5.5133999999999999</v>
      </c>
      <c r="F11" s="10">
        <f t="shared" si="0"/>
        <v>0</v>
      </c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5">
        <f t="shared" si="1"/>
        <v>0</v>
      </c>
      <c r="AM11" s="26">
        <f t="shared" si="2"/>
        <v>0</v>
      </c>
      <c r="AN11" s="27">
        <f t="shared" si="3"/>
        <v>0</v>
      </c>
    </row>
    <row r="12" spans="1:40" ht="20.25" customHeight="1" x14ac:dyDescent="0.3">
      <c r="A12" s="7">
        <v>18388</v>
      </c>
      <c r="B12" s="8" t="s">
        <v>14</v>
      </c>
      <c r="C12" s="11">
        <v>0</v>
      </c>
      <c r="D12" s="9" t="s">
        <v>15</v>
      </c>
      <c r="E12" s="1">
        <v>2.2969560000000002</v>
      </c>
      <c r="F12" s="10">
        <f t="shared" si="0"/>
        <v>0</v>
      </c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5">
        <f t="shared" si="1"/>
        <v>0</v>
      </c>
      <c r="AM12" s="26">
        <f t="shared" si="2"/>
        <v>0</v>
      </c>
      <c r="AN12" s="27">
        <f t="shared" si="3"/>
        <v>0</v>
      </c>
    </row>
    <row r="13" spans="1:40" ht="20.25" customHeight="1" x14ac:dyDescent="0.3">
      <c r="A13" s="7">
        <v>8262</v>
      </c>
      <c r="B13" s="8" t="s">
        <v>16</v>
      </c>
      <c r="C13" s="11">
        <v>0</v>
      </c>
      <c r="D13" s="9" t="s">
        <v>17</v>
      </c>
      <c r="E13" s="1">
        <v>12.346</v>
      </c>
      <c r="F13" s="10">
        <f t="shared" si="0"/>
        <v>0</v>
      </c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5">
        <f t="shared" si="1"/>
        <v>0</v>
      </c>
      <c r="AM13" s="26">
        <f t="shared" si="2"/>
        <v>0</v>
      </c>
      <c r="AN13" s="27">
        <f t="shared" si="3"/>
        <v>0</v>
      </c>
    </row>
    <row r="14" spans="1:40" ht="20.25" customHeight="1" x14ac:dyDescent="0.3">
      <c r="A14" s="7">
        <v>10031</v>
      </c>
      <c r="B14" s="8" t="s">
        <v>18</v>
      </c>
      <c r="C14" s="11">
        <v>4</v>
      </c>
      <c r="D14" s="9" t="s">
        <v>17</v>
      </c>
      <c r="E14" s="1">
        <v>5.2990000000000004</v>
      </c>
      <c r="F14" s="10">
        <f t="shared" si="0"/>
        <v>21.196000000000002</v>
      </c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5">
        <f t="shared" si="1"/>
        <v>0</v>
      </c>
      <c r="AM14" s="26">
        <f t="shared" si="2"/>
        <v>4</v>
      </c>
      <c r="AN14" s="27">
        <f t="shared" si="3"/>
        <v>21.196000000000002</v>
      </c>
    </row>
    <row r="15" spans="1:40" ht="20.25" customHeight="1" x14ac:dyDescent="0.3">
      <c r="A15" s="7">
        <v>7405</v>
      </c>
      <c r="B15" s="8" t="s">
        <v>19</v>
      </c>
      <c r="C15" s="11">
        <v>2</v>
      </c>
      <c r="D15" s="9" t="s">
        <v>17</v>
      </c>
      <c r="E15" s="1">
        <v>1.355</v>
      </c>
      <c r="F15" s="10">
        <f t="shared" si="0"/>
        <v>2.71</v>
      </c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5">
        <f t="shared" si="1"/>
        <v>0</v>
      </c>
      <c r="AM15" s="26">
        <f t="shared" si="2"/>
        <v>2</v>
      </c>
      <c r="AN15" s="27">
        <f t="shared" si="3"/>
        <v>2.71</v>
      </c>
    </row>
    <row r="16" spans="1:40" ht="20.25" customHeight="1" x14ac:dyDescent="0.3">
      <c r="A16" s="7">
        <v>20664</v>
      </c>
      <c r="B16" s="8" t="s">
        <v>20</v>
      </c>
      <c r="C16" s="11">
        <v>0</v>
      </c>
      <c r="D16" s="9" t="s">
        <v>17</v>
      </c>
      <c r="E16" s="1">
        <v>3.141</v>
      </c>
      <c r="F16" s="10">
        <f t="shared" si="0"/>
        <v>0</v>
      </c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5">
        <f t="shared" si="1"/>
        <v>0</v>
      </c>
      <c r="AM16" s="26">
        <f t="shared" si="2"/>
        <v>0</v>
      </c>
      <c r="AN16" s="27">
        <f t="shared" si="3"/>
        <v>0</v>
      </c>
    </row>
    <row r="17" spans="1:40" ht="20.25" customHeight="1" x14ac:dyDescent="0.3">
      <c r="A17" s="7">
        <v>8355</v>
      </c>
      <c r="B17" s="8" t="s">
        <v>21</v>
      </c>
      <c r="C17" s="11">
        <v>5</v>
      </c>
      <c r="D17" s="9" t="s">
        <v>17</v>
      </c>
      <c r="E17" s="1">
        <v>10.519628000000001</v>
      </c>
      <c r="F17" s="10">
        <f t="shared" si="0"/>
        <v>52.598140000000001</v>
      </c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5">
        <f t="shared" si="1"/>
        <v>0</v>
      </c>
      <c r="AM17" s="26">
        <f t="shared" si="2"/>
        <v>5</v>
      </c>
      <c r="AN17" s="27">
        <f t="shared" si="3"/>
        <v>52.598140000000001</v>
      </c>
    </row>
    <row r="18" spans="1:40" ht="20.25" customHeight="1" x14ac:dyDescent="0.3">
      <c r="A18" s="7">
        <v>7957</v>
      </c>
      <c r="B18" s="8" t="s">
        <v>22</v>
      </c>
      <c r="C18" s="11">
        <v>40</v>
      </c>
      <c r="D18" s="9" t="s">
        <v>17</v>
      </c>
      <c r="E18" s="1">
        <v>3.7409300000000001</v>
      </c>
      <c r="F18" s="10">
        <f t="shared" si="0"/>
        <v>149.63720000000001</v>
      </c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5">
        <f t="shared" si="1"/>
        <v>0</v>
      </c>
      <c r="AM18" s="26">
        <f t="shared" si="2"/>
        <v>40</v>
      </c>
      <c r="AN18" s="27">
        <f t="shared" si="3"/>
        <v>149.63720000000001</v>
      </c>
    </row>
    <row r="19" spans="1:40" ht="20.25" customHeight="1" x14ac:dyDescent="0.3">
      <c r="A19" s="7">
        <v>8518</v>
      </c>
      <c r="B19" s="8" t="s">
        <v>23</v>
      </c>
      <c r="C19" s="11">
        <v>15</v>
      </c>
      <c r="D19" s="9" t="s">
        <v>17</v>
      </c>
      <c r="E19" s="1">
        <v>2.817914</v>
      </c>
      <c r="F19" s="10">
        <f t="shared" si="0"/>
        <v>42.268709999999999</v>
      </c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5">
        <f t="shared" si="1"/>
        <v>0</v>
      </c>
      <c r="AM19" s="26">
        <f t="shared" si="2"/>
        <v>15</v>
      </c>
      <c r="AN19" s="27">
        <f t="shared" si="3"/>
        <v>42.268709999999999</v>
      </c>
    </row>
    <row r="20" spans="1:40" ht="20.25" customHeight="1" x14ac:dyDescent="0.3">
      <c r="A20" s="7">
        <v>8192</v>
      </c>
      <c r="B20" s="8" t="s">
        <v>24</v>
      </c>
      <c r="C20" s="11">
        <v>40</v>
      </c>
      <c r="D20" s="9" t="s">
        <v>17</v>
      </c>
      <c r="E20" s="1">
        <v>2.4119999999999999</v>
      </c>
      <c r="F20" s="10">
        <f t="shared" si="0"/>
        <v>96.47999999999999</v>
      </c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5">
        <f t="shared" si="1"/>
        <v>0</v>
      </c>
      <c r="AM20" s="26">
        <f t="shared" si="2"/>
        <v>40</v>
      </c>
      <c r="AN20" s="27">
        <f t="shared" si="3"/>
        <v>96.47999999999999</v>
      </c>
    </row>
    <row r="21" spans="1:40" ht="20.25" customHeight="1" x14ac:dyDescent="0.3">
      <c r="A21" s="7">
        <v>23733</v>
      </c>
      <c r="B21" s="8" t="s">
        <v>25</v>
      </c>
      <c r="C21" s="11">
        <v>20</v>
      </c>
      <c r="D21" s="9" t="s">
        <v>17</v>
      </c>
      <c r="E21" s="1">
        <v>2.867</v>
      </c>
      <c r="F21" s="10">
        <f t="shared" si="0"/>
        <v>57.34</v>
      </c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5">
        <f t="shared" si="1"/>
        <v>0</v>
      </c>
      <c r="AM21" s="26">
        <f t="shared" si="2"/>
        <v>20</v>
      </c>
      <c r="AN21" s="27">
        <f t="shared" si="3"/>
        <v>57.34</v>
      </c>
    </row>
    <row r="22" spans="1:40" ht="20.25" customHeight="1" x14ac:dyDescent="0.3">
      <c r="A22" s="7">
        <v>23264</v>
      </c>
      <c r="B22" s="8" t="s">
        <v>26</v>
      </c>
      <c r="C22" s="11">
        <v>66</v>
      </c>
      <c r="D22" s="9" t="s">
        <v>15</v>
      </c>
      <c r="E22" s="1">
        <v>3.1100059999999998</v>
      </c>
      <c r="F22" s="10">
        <f t="shared" si="0"/>
        <v>205.26039599999999</v>
      </c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5">
        <f t="shared" si="1"/>
        <v>0</v>
      </c>
      <c r="AM22" s="26">
        <f t="shared" si="2"/>
        <v>66</v>
      </c>
      <c r="AN22" s="27">
        <f t="shared" si="3"/>
        <v>205.26039599999999</v>
      </c>
    </row>
    <row r="23" spans="1:40" ht="20.25" customHeight="1" x14ac:dyDescent="0.3">
      <c r="A23" s="7">
        <v>1207</v>
      </c>
      <c r="B23" s="8" t="s">
        <v>27</v>
      </c>
      <c r="C23" s="11">
        <v>4</v>
      </c>
      <c r="D23" s="9" t="s">
        <v>28</v>
      </c>
      <c r="E23" s="1">
        <v>0.64700100000000005</v>
      </c>
      <c r="F23" s="10">
        <f t="shared" si="0"/>
        <v>2.5880040000000002</v>
      </c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5">
        <f t="shared" si="1"/>
        <v>0</v>
      </c>
      <c r="AM23" s="26">
        <f t="shared" si="2"/>
        <v>4</v>
      </c>
      <c r="AN23" s="27">
        <f t="shared" si="3"/>
        <v>2.5880040000000002</v>
      </c>
    </row>
    <row r="24" spans="1:40" ht="20.25" customHeight="1" x14ac:dyDescent="0.3">
      <c r="A24" s="7">
        <v>8920</v>
      </c>
      <c r="B24" s="8" t="s">
        <v>29</v>
      </c>
      <c r="C24" s="11"/>
      <c r="D24" s="9" t="s">
        <v>10</v>
      </c>
      <c r="E24" s="1">
        <v>2.62</v>
      </c>
      <c r="F24" s="10">
        <f t="shared" si="0"/>
        <v>0</v>
      </c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5">
        <f t="shared" si="1"/>
        <v>0</v>
      </c>
      <c r="AM24" s="26">
        <f t="shared" si="2"/>
        <v>0</v>
      </c>
      <c r="AN24" s="27">
        <f t="shared" si="3"/>
        <v>0</v>
      </c>
    </row>
    <row r="25" spans="1:40" ht="20.25" customHeight="1" x14ac:dyDescent="0.3">
      <c r="A25" s="7">
        <v>11372</v>
      </c>
      <c r="B25" s="8" t="s">
        <v>30</v>
      </c>
      <c r="C25" s="11"/>
      <c r="D25" s="9" t="s">
        <v>8</v>
      </c>
      <c r="E25" s="1">
        <v>7.8</v>
      </c>
      <c r="F25" s="10">
        <f t="shared" si="0"/>
        <v>0</v>
      </c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5">
        <f t="shared" si="1"/>
        <v>0</v>
      </c>
      <c r="AM25" s="26">
        <f t="shared" si="2"/>
        <v>0</v>
      </c>
      <c r="AN25" s="27">
        <f t="shared" si="3"/>
        <v>0</v>
      </c>
    </row>
    <row r="26" spans="1:40" ht="20.25" customHeight="1" x14ac:dyDescent="0.3">
      <c r="A26" s="7">
        <v>7219</v>
      </c>
      <c r="B26" s="8" t="s">
        <v>31</v>
      </c>
      <c r="C26" s="11"/>
      <c r="D26" s="9" t="s">
        <v>28</v>
      </c>
      <c r="E26" s="1">
        <v>1.1859999999999999</v>
      </c>
      <c r="F26" s="10">
        <f t="shared" si="0"/>
        <v>0</v>
      </c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5">
        <f t="shared" si="1"/>
        <v>0</v>
      </c>
      <c r="AM26" s="26">
        <f t="shared" si="2"/>
        <v>0</v>
      </c>
      <c r="AN26" s="27">
        <f t="shared" si="3"/>
        <v>0</v>
      </c>
    </row>
    <row r="27" spans="1:40" ht="20.25" customHeight="1" x14ac:dyDescent="0.3">
      <c r="A27" s="7">
        <v>7222</v>
      </c>
      <c r="B27" s="8" t="s">
        <v>32</v>
      </c>
      <c r="C27" s="11"/>
      <c r="D27" s="9" t="s">
        <v>28</v>
      </c>
      <c r="E27" s="1">
        <v>1.1859999999999999</v>
      </c>
      <c r="F27" s="10">
        <f t="shared" si="0"/>
        <v>0</v>
      </c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5">
        <f t="shared" si="1"/>
        <v>0</v>
      </c>
      <c r="AM27" s="26">
        <f t="shared" si="2"/>
        <v>0</v>
      </c>
      <c r="AN27" s="27">
        <f t="shared" si="3"/>
        <v>0</v>
      </c>
    </row>
    <row r="28" spans="1:40" ht="20.25" customHeight="1" x14ac:dyDescent="0.3">
      <c r="A28" s="7">
        <v>708</v>
      </c>
      <c r="B28" s="8" t="s">
        <v>33</v>
      </c>
      <c r="C28" s="11"/>
      <c r="D28" s="9" t="s">
        <v>15</v>
      </c>
      <c r="E28" s="1">
        <v>5.5270000000000001</v>
      </c>
      <c r="F28" s="10">
        <f t="shared" si="0"/>
        <v>0</v>
      </c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5">
        <f t="shared" si="1"/>
        <v>0</v>
      </c>
      <c r="AM28" s="26">
        <f t="shared" si="2"/>
        <v>0</v>
      </c>
      <c r="AN28" s="27">
        <f t="shared" si="3"/>
        <v>0</v>
      </c>
    </row>
    <row r="29" spans="1:40" ht="20.25" customHeight="1" x14ac:dyDescent="0.3">
      <c r="A29" s="7">
        <v>3707</v>
      </c>
      <c r="B29" s="8" t="s">
        <v>34</v>
      </c>
      <c r="C29" s="14">
        <v>113</v>
      </c>
      <c r="D29" s="12" t="s">
        <v>35</v>
      </c>
      <c r="E29" s="13">
        <v>30</v>
      </c>
      <c r="F29" s="10">
        <f t="shared" si="0"/>
        <v>3390</v>
      </c>
      <c r="G29" s="24"/>
      <c r="H29" s="24"/>
      <c r="I29" s="24"/>
      <c r="J29" s="24"/>
      <c r="K29" s="24"/>
      <c r="L29" s="28"/>
      <c r="M29" s="24"/>
      <c r="N29" s="28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5">
        <f t="shared" si="1"/>
        <v>0</v>
      </c>
      <c r="AM29" s="26">
        <f t="shared" si="2"/>
        <v>113</v>
      </c>
      <c r="AN29" s="27">
        <f t="shared" si="3"/>
        <v>3390</v>
      </c>
    </row>
    <row r="30" spans="1:40" ht="20.25" customHeight="1" x14ac:dyDescent="0.3">
      <c r="A30" s="7">
        <v>1813</v>
      </c>
      <c r="B30" s="8" t="s">
        <v>36</v>
      </c>
      <c r="C30" s="14">
        <v>150</v>
      </c>
      <c r="D30" s="12" t="s">
        <v>37</v>
      </c>
      <c r="E30" s="13">
        <v>0.11072700000000001</v>
      </c>
      <c r="F30" s="10">
        <f t="shared" si="0"/>
        <v>16.60905</v>
      </c>
      <c r="G30" s="24"/>
      <c r="H30" s="24"/>
      <c r="I30" s="24"/>
      <c r="J30" s="24"/>
      <c r="K30" s="24"/>
      <c r="L30" s="28"/>
      <c r="M30" s="24"/>
      <c r="N30" s="28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5">
        <f t="shared" si="1"/>
        <v>0</v>
      </c>
      <c r="AM30" s="26">
        <f t="shared" si="2"/>
        <v>150</v>
      </c>
      <c r="AN30" s="27">
        <f t="shared" si="3"/>
        <v>16.60905</v>
      </c>
    </row>
    <row r="31" spans="1:40" ht="20.25" customHeight="1" x14ac:dyDescent="0.3">
      <c r="A31" s="7">
        <v>1811</v>
      </c>
      <c r="B31" s="8" t="s">
        <v>38</v>
      </c>
      <c r="C31" s="14">
        <v>1032</v>
      </c>
      <c r="D31" s="12" t="s">
        <v>37</v>
      </c>
      <c r="E31" s="13">
        <v>6.1212999999999997E-2</v>
      </c>
      <c r="F31" s="10">
        <f t="shared" si="0"/>
        <v>63.171816</v>
      </c>
      <c r="G31" s="24"/>
      <c r="H31" s="24"/>
      <c r="I31" s="24"/>
      <c r="J31" s="24"/>
      <c r="K31" s="24"/>
      <c r="L31" s="28"/>
      <c r="M31" s="24"/>
      <c r="N31" s="28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5">
        <f t="shared" si="1"/>
        <v>0</v>
      </c>
      <c r="AM31" s="26">
        <f t="shared" si="2"/>
        <v>1032</v>
      </c>
      <c r="AN31" s="27">
        <f t="shared" si="3"/>
        <v>63.171816</v>
      </c>
    </row>
    <row r="32" spans="1:40" ht="20.25" customHeight="1" x14ac:dyDescent="0.3">
      <c r="A32" s="7">
        <v>1810</v>
      </c>
      <c r="B32" s="8" t="s">
        <v>39</v>
      </c>
      <c r="C32" s="14">
        <v>1646</v>
      </c>
      <c r="D32" s="12" t="s">
        <v>37</v>
      </c>
      <c r="E32" s="13">
        <v>9.9945999999999993E-2</v>
      </c>
      <c r="F32" s="10">
        <f t="shared" si="0"/>
        <v>164.51111599999999</v>
      </c>
      <c r="G32" s="24"/>
      <c r="H32" s="24"/>
      <c r="I32" s="24"/>
      <c r="J32" s="24"/>
      <c r="K32" s="24"/>
      <c r="L32" s="28"/>
      <c r="M32" s="24"/>
      <c r="N32" s="28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5">
        <f t="shared" si="1"/>
        <v>0</v>
      </c>
      <c r="AM32" s="26">
        <f t="shared" si="2"/>
        <v>1646</v>
      </c>
      <c r="AN32" s="27">
        <f t="shared" si="3"/>
        <v>164.51111599999999</v>
      </c>
    </row>
    <row r="33" spans="1:40" ht="20.25" customHeight="1" x14ac:dyDescent="0.3">
      <c r="A33" s="7">
        <v>1807</v>
      </c>
      <c r="B33" s="8" t="s">
        <v>40</v>
      </c>
      <c r="C33" s="14">
        <v>7</v>
      </c>
      <c r="D33" s="12" t="s">
        <v>28</v>
      </c>
      <c r="E33" s="13">
        <v>3.6469230000000001</v>
      </c>
      <c r="F33" s="10">
        <f t="shared" si="0"/>
        <v>25.528461</v>
      </c>
      <c r="G33" s="24"/>
      <c r="H33" s="24"/>
      <c r="I33" s="24"/>
      <c r="J33" s="24"/>
      <c r="K33" s="24"/>
      <c r="L33" s="28"/>
      <c r="M33" s="24"/>
      <c r="N33" s="28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5">
        <f t="shared" si="1"/>
        <v>0</v>
      </c>
      <c r="AM33" s="26">
        <f t="shared" si="2"/>
        <v>7</v>
      </c>
      <c r="AN33" s="27">
        <f t="shared" si="3"/>
        <v>25.528461</v>
      </c>
    </row>
    <row r="34" spans="1:40" ht="20.25" customHeight="1" x14ac:dyDescent="0.3">
      <c r="A34" s="7">
        <v>1805</v>
      </c>
      <c r="B34" s="8" t="s">
        <v>41</v>
      </c>
      <c r="C34" s="14">
        <v>51</v>
      </c>
      <c r="D34" s="12" t="s">
        <v>28</v>
      </c>
      <c r="E34" s="13">
        <v>1.134803</v>
      </c>
      <c r="F34" s="10">
        <f t="shared" si="0"/>
        <v>57.874952999999998</v>
      </c>
      <c r="G34" s="24"/>
      <c r="H34" s="24"/>
      <c r="I34" s="24"/>
      <c r="J34" s="24"/>
      <c r="K34" s="24"/>
      <c r="L34" s="28"/>
      <c r="M34" s="24"/>
      <c r="N34" s="28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5">
        <f t="shared" si="1"/>
        <v>0</v>
      </c>
      <c r="AM34" s="26">
        <f t="shared" si="2"/>
        <v>51</v>
      </c>
      <c r="AN34" s="27">
        <f t="shared" si="3"/>
        <v>57.874952999999998</v>
      </c>
    </row>
    <row r="35" spans="1:40" ht="20.25" customHeight="1" x14ac:dyDescent="0.3">
      <c r="A35" s="7">
        <v>1804</v>
      </c>
      <c r="B35" s="8" t="s">
        <v>42</v>
      </c>
      <c r="C35" s="14">
        <v>0</v>
      </c>
      <c r="D35" s="12" t="s">
        <v>28</v>
      </c>
      <c r="E35" s="13">
        <v>2.4598059999999999</v>
      </c>
      <c r="F35" s="10">
        <f t="shared" si="0"/>
        <v>0</v>
      </c>
      <c r="G35" s="24"/>
      <c r="H35" s="24"/>
      <c r="I35" s="24"/>
      <c r="J35" s="24"/>
      <c r="K35" s="24"/>
      <c r="L35" s="28"/>
      <c r="M35" s="24"/>
      <c r="N35" s="28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5">
        <f t="shared" si="1"/>
        <v>0</v>
      </c>
      <c r="AM35" s="26">
        <f t="shared" si="2"/>
        <v>0</v>
      </c>
      <c r="AN35" s="27">
        <f t="shared" si="3"/>
        <v>0</v>
      </c>
    </row>
    <row r="36" spans="1:40" ht="20.25" customHeight="1" x14ac:dyDescent="0.3">
      <c r="A36" s="7">
        <v>27586</v>
      </c>
      <c r="B36" s="8" t="s">
        <v>43</v>
      </c>
      <c r="C36" s="11"/>
      <c r="D36" s="9" t="s">
        <v>28</v>
      </c>
      <c r="E36" s="1">
        <v>3.44</v>
      </c>
      <c r="F36" s="10">
        <f t="shared" si="0"/>
        <v>0</v>
      </c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5">
        <f t="shared" si="1"/>
        <v>0</v>
      </c>
      <c r="AM36" s="26">
        <f t="shared" si="2"/>
        <v>0</v>
      </c>
      <c r="AN36" s="27">
        <f t="shared" si="3"/>
        <v>0</v>
      </c>
    </row>
    <row r="37" spans="1:40" ht="20.25" customHeight="1" x14ac:dyDescent="0.3">
      <c r="A37" s="7">
        <v>190419</v>
      </c>
      <c r="B37" s="8" t="s">
        <v>44</v>
      </c>
      <c r="C37" s="11"/>
      <c r="D37" s="9" t="s">
        <v>28</v>
      </c>
      <c r="E37" s="1">
        <v>20.4937</v>
      </c>
      <c r="F37" s="10">
        <f t="shared" si="0"/>
        <v>0</v>
      </c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5">
        <f t="shared" si="1"/>
        <v>0</v>
      </c>
      <c r="AM37" s="26">
        <f t="shared" si="2"/>
        <v>0</v>
      </c>
      <c r="AN37" s="27">
        <f t="shared" si="3"/>
        <v>0</v>
      </c>
    </row>
    <row r="38" spans="1:40" ht="20.25" customHeight="1" x14ac:dyDescent="0.3">
      <c r="A38" s="7">
        <v>192104</v>
      </c>
      <c r="B38" s="8" t="s">
        <v>45</v>
      </c>
      <c r="C38" s="11"/>
      <c r="D38" s="9" t="s">
        <v>28</v>
      </c>
      <c r="E38" s="1">
        <v>9.0299999999999994</v>
      </c>
      <c r="F38" s="10">
        <f t="shared" si="0"/>
        <v>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5">
        <f t="shared" si="1"/>
        <v>0</v>
      </c>
      <c r="AM38" s="26">
        <f t="shared" si="2"/>
        <v>0</v>
      </c>
      <c r="AN38" s="27">
        <f t="shared" si="3"/>
        <v>0</v>
      </c>
    </row>
    <row r="39" spans="1:40" ht="20.25" customHeight="1" x14ac:dyDescent="0.3">
      <c r="A39" s="7">
        <v>192075</v>
      </c>
      <c r="B39" s="8" t="s">
        <v>46</v>
      </c>
      <c r="C39" s="11"/>
      <c r="D39" s="9" t="s">
        <v>28</v>
      </c>
      <c r="E39" s="1">
        <v>21.55</v>
      </c>
      <c r="F39" s="10">
        <f t="shared" si="0"/>
        <v>0</v>
      </c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5">
        <f t="shared" si="1"/>
        <v>0</v>
      </c>
      <c r="AM39" s="26">
        <f t="shared" si="2"/>
        <v>0</v>
      </c>
      <c r="AN39" s="27">
        <f t="shared" si="3"/>
        <v>0</v>
      </c>
    </row>
    <row r="40" spans="1:40" ht="20.25" customHeight="1" x14ac:dyDescent="0.3">
      <c r="A40" s="7">
        <v>190558</v>
      </c>
      <c r="B40" s="8" t="s">
        <v>47</v>
      </c>
      <c r="C40" s="11"/>
      <c r="D40" s="9" t="s">
        <v>28</v>
      </c>
      <c r="E40" s="1">
        <v>2.14194</v>
      </c>
      <c r="F40" s="10">
        <f t="shared" si="0"/>
        <v>0</v>
      </c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5">
        <f t="shared" si="1"/>
        <v>0</v>
      </c>
      <c r="AM40" s="26">
        <f t="shared" si="2"/>
        <v>0</v>
      </c>
      <c r="AN40" s="27">
        <f t="shared" si="3"/>
        <v>0</v>
      </c>
    </row>
    <row r="41" spans="1:40" ht="20.25" customHeight="1" x14ac:dyDescent="0.3">
      <c r="C41" s="11">
        <f>SUM(C7:C40)</f>
        <v>3505</v>
      </c>
      <c r="E41" s="15" t="s">
        <v>48</v>
      </c>
      <c r="F41" s="16">
        <f>SUM(F7:F40)</f>
        <v>5937.0178459999997</v>
      </c>
      <c r="AM41" s="11">
        <f t="shared" ref="AM41:AN41" si="4">SUM(AM7:AM40)</f>
        <v>3505</v>
      </c>
      <c r="AN41" s="29">
        <f t="shared" si="4"/>
        <v>5937.0178459999997</v>
      </c>
    </row>
    <row r="42" spans="1:40" ht="15.75" customHeight="1" x14ac:dyDescent="0.3">
      <c r="E42" s="8"/>
      <c r="F42" s="8"/>
    </row>
    <row r="43" spans="1:40" ht="15.75" customHeight="1" x14ac:dyDescent="0.3">
      <c r="E43" s="8"/>
      <c r="F43" s="8"/>
    </row>
    <row r="44" spans="1:40" ht="15.75" customHeight="1" x14ac:dyDescent="0.3"/>
    <row r="45" spans="1:40" ht="15.75" customHeight="1" x14ac:dyDescent="0.3"/>
    <row r="46" spans="1:40" ht="15.75" customHeight="1" x14ac:dyDescent="0.3"/>
    <row r="47" spans="1:40" ht="15.75" customHeight="1" x14ac:dyDescent="0.3"/>
    <row r="48" spans="1:40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spans="7:40" ht="15.75" customHeight="1" x14ac:dyDescent="0.3"/>
    <row r="194" spans="7:40" ht="15.75" customHeight="1" x14ac:dyDescent="0.3"/>
    <row r="195" spans="7:40" ht="15.75" customHeight="1" x14ac:dyDescent="0.3"/>
    <row r="196" spans="7:40" ht="15.75" customHeight="1" x14ac:dyDescent="0.3"/>
    <row r="197" spans="7:40" ht="15.75" customHeight="1" x14ac:dyDescent="0.3"/>
    <row r="198" spans="7:40" ht="15.75" customHeight="1" x14ac:dyDescent="0.3"/>
    <row r="199" spans="7:40" ht="15.75" customHeight="1" x14ac:dyDescent="0.3"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</row>
    <row r="200" spans="7:40" ht="15.75" customHeight="1" x14ac:dyDescent="0.3"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</row>
    <row r="201" spans="7:40" ht="15.75" customHeight="1" x14ac:dyDescent="0.3"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</row>
    <row r="202" spans="7:40" ht="15.75" customHeight="1" x14ac:dyDescent="0.3"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</row>
    <row r="203" spans="7:40" ht="15.75" customHeight="1" x14ac:dyDescent="0.3"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</row>
    <row r="204" spans="7:40" ht="15.75" customHeight="1" x14ac:dyDescent="0.3"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</row>
    <row r="205" spans="7:40" ht="15.75" customHeight="1" x14ac:dyDescent="0.3"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</row>
    <row r="206" spans="7:40" ht="15.75" customHeight="1" x14ac:dyDescent="0.3"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</row>
    <row r="207" spans="7:40" ht="15.75" customHeight="1" x14ac:dyDescent="0.3"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</row>
    <row r="208" spans="7:40" ht="15.75" customHeight="1" x14ac:dyDescent="0.3"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</row>
    <row r="209" spans="7:40" ht="15.75" customHeight="1" x14ac:dyDescent="0.3"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</row>
    <row r="210" spans="7:40" ht="15.75" customHeight="1" x14ac:dyDescent="0.3"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</row>
    <row r="211" spans="7:40" ht="15.75" customHeight="1" x14ac:dyDescent="0.3"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</row>
    <row r="212" spans="7:40" ht="15.75" customHeight="1" x14ac:dyDescent="0.3"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</row>
    <row r="213" spans="7:40" ht="15.75" customHeight="1" x14ac:dyDescent="0.3"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</row>
    <row r="214" spans="7:40" ht="15.75" customHeight="1" x14ac:dyDescent="0.3"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</row>
    <row r="215" spans="7:40" ht="15.75" customHeight="1" x14ac:dyDescent="0.3"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</row>
    <row r="216" spans="7:40" ht="15.75" customHeight="1" x14ac:dyDescent="0.3"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</row>
    <row r="217" spans="7:40" ht="15.75" customHeight="1" x14ac:dyDescent="0.3"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</row>
    <row r="218" spans="7:40" ht="15.75" customHeight="1" x14ac:dyDescent="0.3"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</row>
    <row r="219" spans="7:40" ht="15.75" customHeight="1" x14ac:dyDescent="0.3"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</row>
    <row r="220" spans="7:40" ht="15.75" customHeight="1" x14ac:dyDescent="0.3"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</row>
    <row r="221" spans="7:40" ht="15.75" customHeight="1" x14ac:dyDescent="0.3"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</row>
    <row r="222" spans="7:40" ht="15.75" customHeight="1" x14ac:dyDescent="0.3"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</row>
    <row r="223" spans="7:40" ht="15.75" customHeight="1" x14ac:dyDescent="0.3"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</row>
    <row r="224" spans="7:40" ht="15.75" customHeight="1" x14ac:dyDescent="0.3"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</row>
    <row r="225" spans="7:40" ht="15.75" customHeight="1" x14ac:dyDescent="0.3"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</row>
    <row r="226" spans="7:40" ht="15.75" customHeight="1" x14ac:dyDescent="0.3"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</row>
    <row r="227" spans="7:40" ht="15.75" customHeight="1" x14ac:dyDescent="0.3"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</row>
    <row r="228" spans="7:40" ht="15.75" customHeight="1" x14ac:dyDescent="0.3"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</row>
    <row r="229" spans="7:40" ht="15.75" customHeight="1" x14ac:dyDescent="0.3"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</row>
    <row r="230" spans="7:40" ht="15.75" customHeight="1" x14ac:dyDescent="0.3"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</row>
    <row r="231" spans="7:40" ht="15.75" customHeight="1" x14ac:dyDescent="0.3"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</row>
    <row r="232" spans="7:40" ht="15.75" customHeight="1" x14ac:dyDescent="0.3"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</row>
    <row r="233" spans="7:40" ht="15.75" customHeight="1" x14ac:dyDescent="0.3"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</row>
    <row r="234" spans="7:40" ht="15.75" customHeight="1" x14ac:dyDescent="0.3"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</row>
    <row r="235" spans="7:40" ht="15.75" customHeight="1" x14ac:dyDescent="0.3"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</row>
    <row r="236" spans="7:40" ht="15.75" customHeight="1" x14ac:dyDescent="0.3"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</row>
    <row r="237" spans="7:40" ht="15.75" customHeight="1" x14ac:dyDescent="0.3"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</row>
    <row r="238" spans="7:40" ht="15.75" customHeight="1" x14ac:dyDescent="0.3"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</row>
    <row r="239" spans="7:40" ht="15.75" customHeight="1" x14ac:dyDescent="0.3"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</row>
    <row r="240" spans="7:40" ht="15.75" customHeight="1" x14ac:dyDescent="0.3"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</row>
    <row r="241" spans="7:40" ht="15.75" customHeight="1" x14ac:dyDescent="0.3"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</row>
    <row r="242" spans="7:40" ht="15.75" customHeight="1" x14ac:dyDescent="0.3"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</row>
    <row r="243" spans="7:40" ht="15.75" customHeight="1" x14ac:dyDescent="0.3"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</row>
    <row r="244" spans="7:40" ht="15.75" customHeight="1" x14ac:dyDescent="0.3"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</row>
    <row r="245" spans="7:40" ht="15.75" customHeight="1" x14ac:dyDescent="0.3"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</row>
    <row r="246" spans="7:40" ht="15.75" customHeight="1" x14ac:dyDescent="0.3"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</row>
    <row r="247" spans="7:40" ht="15.75" customHeight="1" x14ac:dyDescent="0.3"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</row>
    <row r="248" spans="7:40" ht="15.75" customHeight="1" x14ac:dyDescent="0.3"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</row>
    <row r="249" spans="7:40" ht="15.75" customHeight="1" x14ac:dyDescent="0.3"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</row>
    <row r="250" spans="7:40" ht="15.75" customHeight="1" x14ac:dyDescent="0.3"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</row>
    <row r="251" spans="7:40" ht="15.75" customHeight="1" x14ac:dyDescent="0.3"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</row>
    <row r="252" spans="7:40" ht="15.75" customHeight="1" x14ac:dyDescent="0.3"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</row>
    <row r="253" spans="7:40" ht="15.75" customHeight="1" x14ac:dyDescent="0.3"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</row>
    <row r="254" spans="7:40" ht="15.75" customHeight="1" x14ac:dyDescent="0.3"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</row>
    <row r="255" spans="7:40" ht="15.75" customHeight="1" x14ac:dyDescent="0.3"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</row>
    <row r="256" spans="7:40" ht="15.75" customHeight="1" x14ac:dyDescent="0.3"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</row>
    <row r="257" spans="7:40" ht="15.75" customHeight="1" x14ac:dyDescent="0.3"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</row>
    <row r="258" spans="7:40" ht="15.75" customHeight="1" x14ac:dyDescent="0.3"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</row>
    <row r="259" spans="7:40" ht="15.75" customHeight="1" x14ac:dyDescent="0.3"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</row>
    <row r="260" spans="7:40" ht="15.75" customHeight="1" x14ac:dyDescent="0.3"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</row>
    <row r="261" spans="7:40" ht="15.75" customHeight="1" x14ac:dyDescent="0.3"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</row>
    <row r="262" spans="7:40" ht="15.75" customHeight="1" x14ac:dyDescent="0.3"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</row>
    <row r="263" spans="7:40" ht="15.75" customHeight="1" x14ac:dyDescent="0.3"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</row>
    <row r="264" spans="7:40" ht="15.75" customHeight="1" x14ac:dyDescent="0.3"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</row>
    <row r="265" spans="7:40" ht="15.75" customHeight="1" x14ac:dyDescent="0.3"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</row>
    <row r="266" spans="7:40" ht="15.75" customHeight="1" x14ac:dyDescent="0.3"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</row>
    <row r="267" spans="7:40" ht="15.75" customHeight="1" x14ac:dyDescent="0.3"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</row>
    <row r="268" spans="7:40" ht="15.75" customHeight="1" x14ac:dyDescent="0.3"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</row>
    <row r="269" spans="7:40" ht="15.75" customHeight="1" x14ac:dyDescent="0.3"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</row>
    <row r="270" spans="7:40" ht="15.75" customHeight="1" x14ac:dyDescent="0.3"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</row>
    <row r="271" spans="7:40" ht="15.75" customHeight="1" x14ac:dyDescent="0.3"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</row>
    <row r="272" spans="7:40" ht="15.75" customHeight="1" x14ac:dyDescent="0.3"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</row>
    <row r="273" spans="7:40" ht="15.75" customHeight="1" x14ac:dyDescent="0.3"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</row>
    <row r="274" spans="7:40" ht="15.75" customHeight="1" x14ac:dyDescent="0.3"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</row>
    <row r="275" spans="7:40" ht="15.75" customHeight="1" x14ac:dyDescent="0.3"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</row>
    <row r="276" spans="7:40" ht="15.75" customHeight="1" x14ac:dyDescent="0.3"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</row>
    <row r="277" spans="7:40" ht="15.75" customHeight="1" x14ac:dyDescent="0.3"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</row>
    <row r="278" spans="7:40" ht="15.75" customHeight="1" x14ac:dyDescent="0.3"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</row>
    <row r="279" spans="7:40" ht="15.75" customHeight="1" x14ac:dyDescent="0.3"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</row>
    <row r="280" spans="7:40" ht="15.75" customHeight="1" x14ac:dyDescent="0.3"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</row>
    <row r="281" spans="7:40" ht="15.75" customHeight="1" x14ac:dyDescent="0.3"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</row>
    <row r="282" spans="7:40" ht="15.75" customHeight="1" x14ac:dyDescent="0.3"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</row>
    <row r="283" spans="7:40" ht="15.75" customHeight="1" x14ac:dyDescent="0.3"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</row>
    <row r="284" spans="7:40" ht="15.75" customHeight="1" x14ac:dyDescent="0.3"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</row>
    <row r="285" spans="7:40" ht="15.75" customHeight="1" x14ac:dyDescent="0.3"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</row>
    <row r="286" spans="7:40" ht="15.75" customHeight="1" x14ac:dyDescent="0.3"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</row>
    <row r="287" spans="7:40" ht="15.75" customHeight="1" x14ac:dyDescent="0.3"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</row>
    <row r="288" spans="7:40" ht="15.75" customHeight="1" x14ac:dyDescent="0.3"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</row>
    <row r="289" spans="7:40" ht="15.75" customHeight="1" x14ac:dyDescent="0.3"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</row>
    <row r="290" spans="7:40" ht="15.75" customHeight="1" x14ac:dyDescent="0.3"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</row>
    <row r="291" spans="7:40" ht="15.75" customHeight="1" x14ac:dyDescent="0.3"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</row>
    <row r="292" spans="7:40" ht="15.75" customHeight="1" x14ac:dyDescent="0.3"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</row>
    <row r="293" spans="7:40" ht="15.75" customHeight="1" x14ac:dyDescent="0.3"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</row>
    <row r="294" spans="7:40" ht="15.75" customHeight="1" x14ac:dyDescent="0.3"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</row>
    <row r="295" spans="7:40" ht="15.75" customHeight="1" x14ac:dyDescent="0.3"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</row>
    <row r="296" spans="7:40" ht="15.75" customHeight="1" x14ac:dyDescent="0.3"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</row>
    <row r="297" spans="7:40" ht="15.75" customHeight="1" x14ac:dyDescent="0.3"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</row>
    <row r="298" spans="7:40" ht="15.75" customHeight="1" x14ac:dyDescent="0.3"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</row>
    <row r="299" spans="7:40" ht="15.75" customHeight="1" x14ac:dyDescent="0.3"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</row>
    <row r="300" spans="7:40" ht="15.75" customHeight="1" x14ac:dyDescent="0.3"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</row>
    <row r="301" spans="7:40" ht="15.75" customHeight="1" x14ac:dyDescent="0.3"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</row>
    <row r="302" spans="7:40" ht="15.75" customHeight="1" x14ac:dyDescent="0.3"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</row>
    <row r="303" spans="7:40" ht="15.75" customHeight="1" x14ac:dyDescent="0.3"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</row>
    <row r="304" spans="7:40" ht="15.75" customHeight="1" x14ac:dyDescent="0.3"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</row>
    <row r="305" spans="7:40" ht="15.75" customHeight="1" x14ac:dyDescent="0.3"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</row>
    <row r="306" spans="7:40" ht="15.75" customHeight="1" x14ac:dyDescent="0.3"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</row>
    <row r="307" spans="7:40" ht="15.75" customHeight="1" x14ac:dyDescent="0.3"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</row>
    <row r="308" spans="7:40" ht="15.75" customHeight="1" x14ac:dyDescent="0.3"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</row>
    <row r="309" spans="7:40" ht="15.75" customHeight="1" x14ac:dyDescent="0.3"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</row>
    <row r="310" spans="7:40" ht="15.75" customHeight="1" x14ac:dyDescent="0.3"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</row>
    <row r="311" spans="7:40" ht="15.75" customHeight="1" x14ac:dyDescent="0.3"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</row>
    <row r="312" spans="7:40" ht="15.75" customHeight="1" x14ac:dyDescent="0.3"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</row>
    <row r="313" spans="7:40" ht="15.75" customHeight="1" x14ac:dyDescent="0.3"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</row>
    <row r="314" spans="7:40" ht="15.75" customHeight="1" x14ac:dyDescent="0.3"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</row>
    <row r="315" spans="7:40" ht="15.75" customHeight="1" x14ac:dyDescent="0.3"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</row>
    <row r="316" spans="7:40" ht="15.75" customHeight="1" x14ac:dyDescent="0.3"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</row>
    <row r="317" spans="7:40" ht="15.75" customHeight="1" x14ac:dyDescent="0.3"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</row>
    <row r="318" spans="7:40" ht="15.75" customHeight="1" x14ac:dyDescent="0.3"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</row>
    <row r="319" spans="7:40" ht="15.75" customHeight="1" x14ac:dyDescent="0.3"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</row>
    <row r="320" spans="7:40" ht="15.75" customHeight="1" x14ac:dyDescent="0.3"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</row>
    <row r="321" spans="7:40" ht="15.75" customHeight="1" x14ac:dyDescent="0.3"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</row>
    <row r="322" spans="7:40" ht="15.75" customHeight="1" x14ac:dyDescent="0.3"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</row>
    <row r="323" spans="7:40" ht="15.75" customHeight="1" x14ac:dyDescent="0.3"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</row>
    <row r="324" spans="7:40" ht="15.75" customHeight="1" x14ac:dyDescent="0.3"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</row>
    <row r="325" spans="7:40" ht="15.75" customHeight="1" x14ac:dyDescent="0.3"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</row>
    <row r="326" spans="7:40" ht="15.75" customHeight="1" x14ac:dyDescent="0.3"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</row>
    <row r="327" spans="7:40" ht="15.75" customHeight="1" x14ac:dyDescent="0.3"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</row>
    <row r="328" spans="7:40" ht="15.75" customHeight="1" x14ac:dyDescent="0.3"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</row>
    <row r="329" spans="7:40" ht="15.75" customHeight="1" x14ac:dyDescent="0.3"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</row>
    <row r="330" spans="7:40" ht="15.75" customHeight="1" x14ac:dyDescent="0.3"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</row>
    <row r="331" spans="7:40" ht="15.75" customHeight="1" x14ac:dyDescent="0.3"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</row>
    <row r="332" spans="7:40" ht="15.75" customHeight="1" x14ac:dyDescent="0.3"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</row>
    <row r="333" spans="7:40" ht="15.75" customHeight="1" x14ac:dyDescent="0.3"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</row>
    <row r="334" spans="7:40" ht="15.75" customHeight="1" x14ac:dyDescent="0.3"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</row>
    <row r="335" spans="7:40" ht="15.75" customHeight="1" x14ac:dyDescent="0.3"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</row>
    <row r="336" spans="7:40" ht="15.75" customHeight="1" x14ac:dyDescent="0.3"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</row>
    <row r="337" spans="7:40" ht="15.75" customHeight="1" x14ac:dyDescent="0.3"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</row>
    <row r="338" spans="7:40" ht="15.75" customHeight="1" x14ac:dyDescent="0.3"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</row>
    <row r="339" spans="7:40" ht="15.75" customHeight="1" x14ac:dyDescent="0.3"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</row>
    <row r="340" spans="7:40" ht="15.75" customHeight="1" x14ac:dyDescent="0.3"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</row>
    <row r="341" spans="7:40" ht="15.75" customHeight="1" x14ac:dyDescent="0.3"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</row>
    <row r="342" spans="7:40" ht="15.75" customHeight="1" x14ac:dyDescent="0.3"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</row>
    <row r="343" spans="7:40" ht="15.75" customHeight="1" x14ac:dyDescent="0.3"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</row>
    <row r="344" spans="7:40" ht="15.75" customHeight="1" x14ac:dyDescent="0.3"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</row>
    <row r="345" spans="7:40" ht="15.75" customHeight="1" x14ac:dyDescent="0.3"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</row>
    <row r="346" spans="7:40" ht="15.75" customHeight="1" x14ac:dyDescent="0.3"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</row>
    <row r="347" spans="7:40" ht="15.75" customHeight="1" x14ac:dyDescent="0.3"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</row>
    <row r="348" spans="7:40" ht="15.75" customHeight="1" x14ac:dyDescent="0.3"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</row>
    <row r="349" spans="7:40" ht="15.75" customHeight="1" x14ac:dyDescent="0.3"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</row>
    <row r="350" spans="7:40" ht="15.75" customHeight="1" x14ac:dyDescent="0.3"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</row>
    <row r="351" spans="7:40" ht="15.75" customHeight="1" x14ac:dyDescent="0.3"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</row>
    <row r="352" spans="7:40" ht="15.75" customHeight="1" x14ac:dyDescent="0.3"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</row>
    <row r="353" spans="7:40" ht="15.75" customHeight="1" x14ac:dyDescent="0.3"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</row>
    <row r="354" spans="7:40" ht="15.75" customHeight="1" x14ac:dyDescent="0.3"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</row>
    <row r="355" spans="7:40" ht="15.75" customHeight="1" x14ac:dyDescent="0.3"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</row>
    <row r="356" spans="7:40" ht="15.75" customHeight="1" x14ac:dyDescent="0.3"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</row>
    <row r="357" spans="7:40" ht="15.75" customHeight="1" x14ac:dyDescent="0.3"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</row>
    <row r="358" spans="7:40" ht="15.75" customHeight="1" x14ac:dyDescent="0.3"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</row>
    <row r="359" spans="7:40" ht="15.75" customHeight="1" x14ac:dyDescent="0.3"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</row>
    <row r="360" spans="7:40" ht="15.75" customHeight="1" x14ac:dyDescent="0.3"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</row>
    <row r="361" spans="7:40" ht="15.75" customHeight="1" x14ac:dyDescent="0.3"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</row>
    <row r="362" spans="7:40" ht="15.75" customHeight="1" x14ac:dyDescent="0.3"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</row>
    <row r="363" spans="7:40" ht="15.75" customHeight="1" x14ac:dyDescent="0.3"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</row>
    <row r="364" spans="7:40" ht="15.75" customHeight="1" x14ac:dyDescent="0.3"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</row>
    <row r="365" spans="7:40" ht="15.75" customHeight="1" x14ac:dyDescent="0.3"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</row>
    <row r="366" spans="7:40" ht="15.75" customHeight="1" x14ac:dyDescent="0.3"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</row>
    <row r="367" spans="7:40" ht="15.75" customHeight="1" x14ac:dyDescent="0.3"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</row>
    <row r="368" spans="7:40" ht="15.75" customHeight="1" x14ac:dyDescent="0.3"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</row>
    <row r="369" spans="7:40" ht="15.75" customHeight="1" x14ac:dyDescent="0.3"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</row>
    <row r="370" spans="7:40" ht="15.75" customHeight="1" x14ac:dyDescent="0.3"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</row>
    <row r="371" spans="7:40" ht="15.75" customHeight="1" x14ac:dyDescent="0.3"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</row>
    <row r="372" spans="7:40" ht="15.75" customHeight="1" x14ac:dyDescent="0.3"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</row>
    <row r="373" spans="7:40" ht="15.75" customHeight="1" x14ac:dyDescent="0.3"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</row>
    <row r="374" spans="7:40" ht="15.75" customHeight="1" x14ac:dyDescent="0.3"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</row>
    <row r="375" spans="7:40" ht="15.75" customHeight="1" x14ac:dyDescent="0.3"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</row>
    <row r="376" spans="7:40" ht="15.75" customHeight="1" x14ac:dyDescent="0.3"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</row>
    <row r="377" spans="7:40" ht="15.75" customHeight="1" x14ac:dyDescent="0.3"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</row>
    <row r="378" spans="7:40" ht="15.75" customHeight="1" x14ac:dyDescent="0.3"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</row>
    <row r="379" spans="7:40" ht="15.75" customHeight="1" x14ac:dyDescent="0.3"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</row>
    <row r="380" spans="7:40" ht="15.75" customHeight="1" x14ac:dyDescent="0.3"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</row>
    <row r="381" spans="7:40" ht="15.75" customHeight="1" x14ac:dyDescent="0.3"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</row>
    <row r="382" spans="7:40" ht="15.75" customHeight="1" x14ac:dyDescent="0.3"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</row>
    <row r="383" spans="7:40" ht="15.75" customHeight="1" x14ac:dyDescent="0.3"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</row>
    <row r="384" spans="7:40" ht="15.75" customHeight="1" x14ac:dyDescent="0.3"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</row>
    <row r="385" spans="7:40" ht="15.75" customHeight="1" x14ac:dyDescent="0.3"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</row>
    <row r="386" spans="7:40" ht="15.75" customHeight="1" x14ac:dyDescent="0.3"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</row>
    <row r="387" spans="7:40" ht="15.75" customHeight="1" x14ac:dyDescent="0.3"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</row>
    <row r="388" spans="7:40" ht="15.75" customHeight="1" x14ac:dyDescent="0.3"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</row>
    <row r="389" spans="7:40" ht="15.75" customHeight="1" x14ac:dyDescent="0.3"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</row>
    <row r="390" spans="7:40" ht="15.75" customHeight="1" x14ac:dyDescent="0.3"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</row>
    <row r="391" spans="7:40" ht="15.75" customHeight="1" x14ac:dyDescent="0.3"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</row>
    <row r="392" spans="7:40" ht="15.75" customHeight="1" x14ac:dyDescent="0.3"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</row>
    <row r="393" spans="7:40" ht="15.75" customHeight="1" x14ac:dyDescent="0.3"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</row>
    <row r="394" spans="7:40" ht="15.75" customHeight="1" x14ac:dyDescent="0.3"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</row>
    <row r="395" spans="7:40" ht="15.75" customHeight="1" x14ac:dyDescent="0.3"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</row>
    <row r="396" spans="7:40" ht="15.75" customHeight="1" x14ac:dyDescent="0.3"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</row>
    <row r="397" spans="7:40" ht="15.75" customHeight="1" x14ac:dyDescent="0.3"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</row>
    <row r="398" spans="7:40" ht="15.75" customHeight="1" x14ac:dyDescent="0.3"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</row>
    <row r="399" spans="7:40" ht="15.75" customHeight="1" x14ac:dyDescent="0.3"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</row>
    <row r="400" spans="7:40" ht="15.75" customHeight="1" x14ac:dyDescent="0.3"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</row>
    <row r="401" spans="7:40" ht="15.75" customHeight="1" x14ac:dyDescent="0.3"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</row>
    <row r="402" spans="7:40" ht="15.75" customHeight="1" x14ac:dyDescent="0.3"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</row>
    <row r="403" spans="7:40" ht="15.75" customHeight="1" x14ac:dyDescent="0.3"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</row>
    <row r="404" spans="7:40" ht="15.75" customHeight="1" x14ac:dyDescent="0.3"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</row>
    <row r="405" spans="7:40" ht="15.75" customHeight="1" x14ac:dyDescent="0.3"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</row>
    <row r="406" spans="7:40" ht="15.75" customHeight="1" x14ac:dyDescent="0.3"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</row>
    <row r="407" spans="7:40" ht="15.75" customHeight="1" x14ac:dyDescent="0.3"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</row>
    <row r="408" spans="7:40" ht="15.75" customHeight="1" x14ac:dyDescent="0.3"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</row>
    <row r="409" spans="7:40" ht="15.75" customHeight="1" x14ac:dyDescent="0.3"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</row>
    <row r="410" spans="7:40" ht="15.75" customHeight="1" x14ac:dyDescent="0.3"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</row>
    <row r="411" spans="7:40" ht="15.75" customHeight="1" x14ac:dyDescent="0.3"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</row>
    <row r="412" spans="7:40" ht="15.75" customHeight="1" x14ac:dyDescent="0.3"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</row>
    <row r="413" spans="7:40" ht="15.75" customHeight="1" x14ac:dyDescent="0.3"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</row>
    <row r="414" spans="7:40" ht="15.75" customHeight="1" x14ac:dyDescent="0.3"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</row>
    <row r="415" spans="7:40" ht="15.75" customHeight="1" x14ac:dyDescent="0.3"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</row>
    <row r="416" spans="7:40" ht="15.75" customHeight="1" x14ac:dyDescent="0.3"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</row>
    <row r="417" spans="7:40" ht="15.75" customHeight="1" x14ac:dyDescent="0.3"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</row>
    <row r="418" spans="7:40" ht="15.75" customHeight="1" x14ac:dyDescent="0.3"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</row>
    <row r="419" spans="7:40" ht="15.75" customHeight="1" x14ac:dyDescent="0.3"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</row>
    <row r="420" spans="7:40" ht="15.75" customHeight="1" x14ac:dyDescent="0.3"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</row>
    <row r="421" spans="7:40" ht="15.75" customHeight="1" x14ac:dyDescent="0.3"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</row>
    <row r="422" spans="7:40" ht="15.75" customHeight="1" x14ac:dyDescent="0.3"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</row>
    <row r="423" spans="7:40" ht="15.75" customHeight="1" x14ac:dyDescent="0.3"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</row>
    <row r="424" spans="7:40" ht="15.75" customHeight="1" x14ac:dyDescent="0.3"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</row>
    <row r="425" spans="7:40" ht="15.75" customHeight="1" x14ac:dyDescent="0.3"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</row>
    <row r="426" spans="7:40" ht="15.75" customHeight="1" x14ac:dyDescent="0.3"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</row>
    <row r="427" spans="7:40" ht="15.75" customHeight="1" x14ac:dyDescent="0.3"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</row>
    <row r="428" spans="7:40" ht="15.75" customHeight="1" x14ac:dyDescent="0.3"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</row>
    <row r="429" spans="7:40" ht="15.75" customHeight="1" x14ac:dyDescent="0.3"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</row>
    <row r="430" spans="7:40" ht="15.75" customHeight="1" x14ac:dyDescent="0.3"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</row>
    <row r="431" spans="7:40" ht="15.75" customHeight="1" x14ac:dyDescent="0.3"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</row>
    <row r="432" spans="7:40" ht="15.75" customHeight="1" x14ac:dyDescent="0.3"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</row>
    <row r="433" spans="7:40" ht="15.75" customHeight="1" x14ac:dyDescent="0.3"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</row>
    <row r="434" spans="7:40" ht="15.75" customHeight="1" x14ac:dyDescent="0.3"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</row>
    <row r="435" spans="7:40" ht="15.75" customHeight="1" x14ac:dyDescent="0.3"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</row>
    <row r="436" spans="7:40" ht="15.75" customHeight="1" x14ac:dyDescent="0.3"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</row>
    <row r="437" spans="7:40" ht="15.75" customHeight="1" x14ac:dyDescent="0.3"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</row>
    <row r="438" spans="7:40" ht="15.75" customHeight="1" x14ac:dyDescent="0.3"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</row>
    <row r="439" spans="7:40" ht="15.75" customHeight="1" x14ac:dyDescent="0.3"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</row>
    <row r="440" spans="7:40" ht="15.75" customHeight="1" x14ac:dyDescent="0.3"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</row>
    <row r="441" spans="7:40" ht="15.75" customHeight="1" x14ac:dyDescent="0.3"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</row>
    <row r="442" spans="7:40" ht="15.75" customHeight="1" x14ac:dyDescent="0.3"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</row>
    <row r="443" spans="7:40" ht="15.75" customHeight="1" x14ac:dyDescent="0.3"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</row>
    <row r="444" spans="7:40" ht="15.75" customHeight="1" x14ac:dyDescent="0.3"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</row>
    <row r="445" spans="7:40" ht="15.75" customHeight="1" x14ac:dyDescent="0.3"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</row>
    <row r="446" spans="7:40" ht="15.75" customHeight="1" x14ac:dyDescent="0.3"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</row>
    <row r="447" spans="7:40" ht="15.75" customHeight="1" x14ac:dyDescent="0.3"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</row>
    <row r="448" spans="7:40" ht="15.75" customHeight="1" x14ac:dyDescent="0.3"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</row>
    <row r="449" spans="7:40" ht="15.75" customHeight="1" x14ac:dyDescent="0.3"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</row>
    <row r="450" spans="7:40" ht="15.75" customHeight="1" x14ac:dyDescent="0.3"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</row>
    <row r="451" spans="7:40" ht="15.75" customHeight="1" x14ac:dyDescent="0.3"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</row>
    <row r="452" spans="7:40" ht="15.75" customHeight="1" x14ac:dyDescent="0.3"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</row>
    <row r="453" spans="7:40" ht="15.75" customHeight="1" x14ac:dyDescent="0.3"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</row>
    <row r="454" spans="7:40" ht="15.75" customHeight="1" x14ac:dyDescent="0.3"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</row>
    <row r="455" spans="7:40" ht="15.75" customHeight="1" x14ac:dyDescent="0.3"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</row>
    <row r="456" spans="7:40" ht="15.75" customHeight="1" x14ac:dyDescent="0.3"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</row>
    <row r="457" spans="7:40" ht="15.75" customHeight="1" x14ac:dyDescent="0.3"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</row>
    <row r="458" spans="7:40" ht="15.75" customHeight="1" x14ac:dyDescent="0.3"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</row>
    <row r="459" spans="7:40" ht="15.75" customHeight="1" x14ac:dyDescent="0.3"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</row>
    <row r="460" spans="7:40" ht="15.75" customHeight="1" x14ac:dyDescent="0.3"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</row>
    <row r="461" spans="7:40" ht="15.75" customHeight="1" x14ac:dyDescent="0.3"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</row>
    <row r="462" spans="7:40" ht="15.75" customHeight="1" x14ac:dyDescent="0.3"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</row>
    <row r="463" spans="7:40" ht="15.75" customHeight="1" x14ac:dyDescent="0.3"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</row>
    <row r="464" spans="7:40" ht="15.75" customHeight="1" x14ac:dyDescent="0.3"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</row>
    <row r="465" spans="7:40" ht="15.75" customHeight="1" x14ac:dyDescent="0.3"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</row>
    <row r="466" spans="7:40" ht="15.75" customHeight="1" x14ac:dyDescent="0.3"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</row>
    <row r="467" spans="7:40" ht="15.75" customHeight="1" x14ac:dyDescent="0.3"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</row>
    <row r="468" spans="7:40" ht="15.75" customHeight="1" x14ac:dyDescent="0.3"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</row>
    <row r="469" spans="7:40" ht="15.75" customHeight="1" x14ac:dyDescent="0.3"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</row>
    <row r="470" spans="7:40" ht="15.75" customHeight="1" x14ac:dyDescent="0.3"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</row>
    <row r="471" spans="7:40" ht="15.75" customHeight="1" x14ac:dyDescent="0.3"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</row>
    <row r="472" spans="7:40" ht="15.75" customHeight="1" x14ac:dyDescent="0.3"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</row>
    <row r="473" spans="7:40" ht="15.75" customHeight="1" x14ac:dyDescent="0.3"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</row>
    <row r="474" spans="7:40" ht="15.75" customHeight="1" x14ac:dyDescent="0.3"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</row>
    <row r="475" spans="7:40" ht="15.75" customHeight="1" x14ac:dyDescent="0.3"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</row>
    <row r="476" spans="7:40" ht="15.75" customHeight="1" x14ac:dyDescent="0.3"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</row>
    <row r="477" spans="7:40" ht="15.75" customHeight="1" x14ac:dyDescent="0.3"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</row>
    <row r="478" spans="7:40" ht="15.75" customHeight="1" x14ac:dyDescent="0.3"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</row>
    <row r="479" spans="7:40" ht="15.75" customHeight="1" x14ac:dyDescent="0.3"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</row>
    <row r="480" spans="7:40" ht="15.75" customHeight="1" x14ac:dyDescent="0.3"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</row>
    <row r="481" spans="7:40" ht="15.75" customHeight="1" x14ac:dyDescent="0.3"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</row>
    <row r="482" spans="7:40" ht="15.75" customHeight="1" x14ac:dyDescent="0.3"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</row>
    <row r="483" spans="7:40" ht="15.75" customHeight="1" x14ac:dyDescent="0.3"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</row>
    <row r="484" spans="7:40" ht="15.75" customHeight="1" x14ac:dyDescent="0.3"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</row>
    <row r="485" spans="7:40" ht="15.75" customHeight="1" x14ac:dyDescent="0.3"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</row>
    <row r="486" spans="7:40" ht="15.75" customHeight="1" x14ac:dyDescent="0.3"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</row>
    <row r="487" spans="7:40" ht="15.75" customHeight="1" x14ac:dyDescent="0.3"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</row>
    <row r="488" spans="7:40" ht="15.75" customHeight="1" x14ac:dyDescent="0.3"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</row>
    <row r="489" spans="7:40" ht="15.75" customHeight="1" x14ac:dyDescent="0.3"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</row>
    <row r="490" spans="7:40" ht="15.75" customHeight="1" x14ac:dyDescent="0.3"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</row>
    <row r="491" spans="7:40" ht="15.75" customHeight="1" x14ac:dyDescent="0.3"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</row>
    <row r="492" spans="7:40" ht="15.75" customHeight="1" x14ac:dyDescent="0.3"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</row>
    <row r="493" spans="7:40" ht="15.75" customHeight="1" x14ac:dyDescent="0.3"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</row>
    <row r="494" spans="7:40" ht="15.75" customHeight="1" x14ac:dyDescent="0.3"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</row>
    <row r="495" spans="7:40" ht="15.75" customHeight="1" x14ac:dyDescent="0.3"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</row>
    <row r="496" spans="7:40" ht="15.75" customHeight="1" x14ac:dyDescent="0.3"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</row>
    <row r="497" spans="7:40" ht="15.75" customHeight="1" x14ac:dyDescent="0.3"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</row>
    <row r="498" spans="7:40" ht="15.75" customHeight="1" x14ac:dyDescent="0.3"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</row>
    <row r="499" spans="7:40" ht="15.75" customHeight="1" x14ac:dyDescent="0.3"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</row>
    <row r="500" spans="7:40" ht="15.75" customHeight="1" x14ac:dyDescent="0.3"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</row>
    <row r="501" spans="7:40" ht="15.75" customHeight="1" x14ac:dyDescent="0.3"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</row>
    <row r="502" spans="7:40" ht="15.75" customHeight="1" x14ac:dyDescent="0.3"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</row>
    <row r="503" spans="7:40" ht="15.75" customHeight="1" x14ac:dyDescent="0.3"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</row>
    <row r="504" spans="7:40" ht="15.75" customHeight="1" x14ac:dyDescent="0.3"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</row>
    <row r="505" spans="7:40" ht="15.75" customHeight="1" x14ac:dyDescent="0.3"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</row>
    <row r="506" spans="7:40" ht="15.75" customHeight="1" x14ac:dyDescent="0.3"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</row>
    <row r="507" spans="7:40" ht="15.75" customHeight="1" x14ac:dyDescent="0.3"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</row>
    <row r="508" spans="7:40" ht="15.75" customHeight="1" x14ac:dyDescent="0.3"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</row>
    <row r="509" spans="7:40" ht="15.75" customHeight="1" x14ac:dyDescent="0.3"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</row>
    <row r="510" spans="7:40" ht="15.75" customHeight="1" x14ac:dyDescent="0.3"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</row>
    <row r="511" spans="7:40" ht="15.75" customHeight="1" x14ac:dyDescent="0.3"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</row>
    <row r="512" spans="7:40" ht="15.75" customHeight="1" x14ac:dyDescent="0.3"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</row>
    <row r="513" spans="7:40" ht="15.75" customHeight="1" x14ac:dyDescent="0.3"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</row>
    <row r="514" spans="7:40" ht="15.75" customHeight="1" x14ac:dyDescent="0.3"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</row>
    <row r="515" spans="7:40" ht="15.75" customHeight="1" x14ac:dyDescent="0.3"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</row>
    <row r="516" spans="7:40" ht="15.75" customHeight="1" x14ac:dyDescent="0.3"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</row>
    <row r="517" spans="7:40" ht="15.75" customHeight="1" x14ac:dyDescent="0.3"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</row>
    <row r="518" spans="7:40" ht="15.75" customHeight="1" x14ac:dyDescent="0.3"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</row>
    <row r="519" spans="7:40" ht="15.75" customHeight="1" x14ac:dyDescent="0.3"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</row>
    <row r="520" spans="7:40" ht="15.75" customHeight="1" x14ac:dyDescent="0.3"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</row>
    <row r="521" spans="7:40" ht="15.75" customHeight="1" x14ac:dyDescent="0.3"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</row>
    <row r="522" spans="7:40" ht="15.75" customHeight="1" x14ac:dyDescent="0.3"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</row>
    <row r="523" spans="7:40" ht="15.75" customHeight="1" x14ac:dyDescent="0.3"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</row>
    <row r="524" spans="7:40" ht="15.75" customHeight="1" x14ac:dyDescent="0.3"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</row>
    <row r="525" spans="7:40" ht="15.75" customHeight="1" x14ac:dyDescent="0.3"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</row>
    <row r="526" spans="7:40" ht="15.75" customHeight="1" x14ac:dyDescent="0.3"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</row>
    <row r="527" spans="7:40" ht="15.75" customHeight="1" x14ac:dyDescent="0.3"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</row>
    <row r="528" spans="7:40" ht="15.75" customHeight="1" x14ac:dyDescent="0.3"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</row>
    <row r="529" spans="7:40" ht="15.75" customHeight="1" x14ac:dyDescent="0.3"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</row>
    <row r="530" spans="7:40" ht="15.75" customHeight="1" x14ac:dyDescent="0.3"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</row>
    <row r="531" spans="7:40" ht="15.75" customHeight="1" x14ac:dyDescent="0.3"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</row>
    <row r="532" spans="7:40" ht="15.75" customHeight="1" x14ac:dyDescent="0.3"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</row>
    <row r="533" spans="7:40" ht="15.75" customHeight="1" x14ac:dyDescent="0.3"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</row>
    <row r="534" spans="7:40" ht="15.75" customHeight="1" x14ac:dyDescent="0.3"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</row>
    <row r="535" spans="7:40" ht="15.75" customHeight="1" x14ac:dyDescent="0.3"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</row>
    <row r="536" spans="7:40" ht="15.75" customHeight="1" x14ac:dyDescent="0.3"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</row>
    <row r="537" spans="7:40" ht="15.75" customHeight="1" x14ac:dyDescent="0.3"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</row>
    <row r="538" spans="7:40" ht="15.75" customHeight="1" x14ac:dyDescent="0.3"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</row>
    <row r="539" spans="7:40" ht="15.75" customHeight="1" x14ac:dyDescent="0.3"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</row>
    <row r="540" spans="7:40" ht="15.75" customHeight="1" x14ac:dyDescent="0.3"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</row>
    <row r="541" spans="7:40" ht="15.75" customHeight="1" x14ac:dyDescent="0.3"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</row>
    <row r="542" spans="7:40" ht="15.75" customHeight="1" x14ac:dyDescent="0.3"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</row>
    <row r="543" spans="7:40" ht="15.75" customHeight="1" x14ac:dyDescent="0.3"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</row>
    <row r="544" spans="7:40" ht="15.75" customHeight="1" x14ac:dyDescent="0.3"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</row>
    <row r="545" spans="7:40" ht="15.75" customHeight="1" x14ac:dyDescent="0.3"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</row>
    <row r="546" spans="7:40" ht="15.75" customHeight="1" x14ac:dyDescent="0.3"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</row>
    <row r="547" spans="7:40" ht="15.75" customHeight="1" x14ac:dyDescent="0.3"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</row>
    <row r="548" spans="7:40" ht="15.75" customHeight="1" x14ac:dyDescent="0.3"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</row>
    <row r="549" spans="7:40" ht="15.75" customHeight="1" x14ac:dyDescent="0.3"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</row>
    <row r="550" spans="7:40" ht="15.75" customHeight="1" x14ac:dyDescent="0.3"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</row>
    <row r="551" spans="7:40" ht="15.75" customHeight="1" x14ac:dyDescent="0.3"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</row>
    <row r="552" spans="7:40" ht="15.75" customHeight="1" x14ac:dyDescent="0.3"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</row>
    <row r="553" spans="7:40" ht="15.75" customHeight="1" x14ac:dyDescent="0.3"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</row>
    <row r="554" spans="7:40" ht="15.75" customHeight="1" x14ac:dyDescent="0.3"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</row>
    <row r="555" spans="7:40" ht="15.75" customHeight="1" x14ac:dyDescent="0.3"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</row>
    <row r="556" spans="7:40" ht="15.75" customHeight="1" x14ac:dyDescent="0.3"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</row>
    <row r="557" spans="7:40" ht="15.75" customHeight="1" x14ac:dyDescent="0.3"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</row>
    <row r="558" spans="7:40" ht="15.75" customHeight="1" x14ac:dyDescent="0.3"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</row>
    <row r="559" spans="7:40" ht="15.75" customHeight="1" x14ac:dyDescent="0.3"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</row>
    <row r="560" spans="7:40" ht="15.75" customHeight="1" x14ac:dyDescent="0.3"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</row>
    <row r="561" spans="7:40" ht="15.75" customHeight="1" x14ac:dyDescent="0.3"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</row>
    <row r="562" spans="7:40" ht="15.75" customHeight="1" x14ac:dyDescent="0.3"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</row>
    <row r="563" spans="7:40" ht="15.75" customHeight="1" x14ac:dyDescent="0.3"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</row>
    <row r="564" spans="7:40" ht="15.75" customHeight="1" x14ac:dyDescent="0.3"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</row>
    <row r="565" spans="7:40" ht="15.75" customHeight="1" x14ac:dyDescent="0.3"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</row>
    <row r="566" spans="7:40" ht="15.75" customHeight="1" x14ac:dyDescent="0.3"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</row>
    <row r="567" spans="7:40" ht="15.75" customHeight="1" x14ac:dyDescent="0.3"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</row>
    <row r="568" spans="7:40" ht="15.75" customHeight="1" x14ac:dyDescent="0.3"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</row>
    <row r="569" spans="7:40" ht="15.75" customHeight="1" x14ac:dyDescent="0.3"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</row>
    <row r="570" spans="7:40" ht="15.75" customHeight="1" x14ac:dyDescent="0.3"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</row>
    <row r="571" spans="7:40" ht="15.75" customHeight="1" x14ac:dyDescent="0.3"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</row>
    <row r="572" spans="7:40" ht="15.75" customHeight="1" x14ac:dyDescent="0.3"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</row>
    <row r="573" spans="7:40" ht="15.75" customHeight="1" x14ac:dyDescent="0.3"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</row>
    <row r="574" spans="7:40" ht="15.75" customHeight="1" x14ac:dyDescent="0.3"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</row>
    <row r="575" spans="7:40" ht="15.75" customHeight="1" x14ac:dyDescent="0.3"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</row>
    <row r="576" spans="7:40" ht="15.75" customHeight="1" x14ac:dyDescent="0.3"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</row>
    <row r="577" spans="7:40" ht="15.75" customHeight="1" x14ac:dyDescent="0.3"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</row>
    <row r="578" spans="7:40" ht="15.75" customHeight="1" x14ac:dyDescent="0.3"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</row>
    <row r="579" spans="7:40" ht="15.75" customHeight="1" x14ac:dyDescent="0.3"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</row>
    <row r="580" spans="7:40" ht="15.75" customHeight="1" x14ac:dyDescent="0.3"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</row>
    <row r="581" spans="7:40" ht="15.75" customHeight="1" x14ac:dyDescent="0.3"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</row>
    <row r="582" spans="7:40" ht="15.75" customHeight="1" x14ac:dyDescent="0.3"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</row>
    <row r="583" spans="7:40" ht="15.75" customHeight="1" x14ac:dyDescent="0.3"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</row>
    <row r="584" spans="7:40" ht="15.75" customHeight="1" x14ac:dyDescent="0.3"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</row>
    <row r="585" spans="7:40" ht="15.75" customHeight="1" x14ac:dyDescent="0.3"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</row>
    <row r="586" spans="7:40" ht="15.75" customHeight="1" x14ac:dyDescent="0.3"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</row>
    <row r="587" spans="7:40" ht="15.75" customHeight="1" x14ac:dyDescent="0.3"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</row>
    <row r="588" spans="7:40" ht="15.75" customHeight="1" x14ac:dyDescent="0.3"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</row>
    <row r="589" spans="7:40" ht="15.75" customHeight="1" x14ac:dyDescent="0.3"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</row>
    <row r="590" spans="7:40" ht="15.75" customHeight="1" x14ac:dyDescent="0.3"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</row>
    <row r="591" spans="7:40" ht="15.75" customHeight="1" x14ac:dyDescent="0.3"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</row>
    <row r="592" spans="7:40" ht="15.75" customHeight="1" x14ac:dyDescent="0.3"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</row>
    <row r="593" spans="7:40" ht="15.75" customHeight="1" x14ac:dyDescent="0.3"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</row>
    <row r="594" spans="7:40" ht="15.75" customHeight="1" x14ac:dyDescent="0.3"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</row>
    <row r="595" spans="7:40" ht="15.75" customHeight="1" x14ac:dyDescent="0.3"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</row>
    <row r="596" spans="7:40" ht="15.75" customHeight="1" x14ac:dyDescent="0.3"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</row>
    <row r="597" spans="7:40" ht="15.75" customHeight="1" x14ac:dyDescent="0.3"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</row>
    <row r="598" spans="7:40" ht="15.75" customHeight="1" x14ac:dyDescent="0.3"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</row>
    <row r="599" spans="7:40" ht="15.75" customHeight="1" x14ac:dyDescent="0.3"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</row>
    <row r="600" spans="7:40" ht="15.75" customHeight="1" x14ac:dyDescent="0.3"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</row>
    <row r="601" spans="7:40" ht="15.75" customHeight="1" x14ac:dyDescent="0.3"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</row>
    <row r="602" spans="7:40" ht="15.75" customHeight="1" x14ac:dyDescent="0.3"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</row>
    <row r="603" spans="7:40" ht="15.75" customHeight="1" x14ac:dyDescent="0.3"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</row>
    <row r="604" spans="7:40" ht="15.75" customHeight="1" x14ac:dyDescent="0.3"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</row>
    <row r="605" spans="7:40" ht="15.75" customHeight="1" x14ac:dyDescent="0.3"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</row>
    <row r="606" spans="7:40" ht="15.75" customHeight="1" x14ac:dyDescent="0.3"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</row>
    <row r="607" spans="7:40" ht="15.75" customHeight="1" x14ac:dyDescent="0.3"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</row>
    <row r="608" spans="7:40" ht="15.75" customHeight="1" x14ac:dyDescent="0.3"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</row>
    <row r="609" spans="7:40" ht="15.75" customHeight="1" x14ac:dyDescent="0.3"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</row>
    <row r="610" spans="7:40" ht="15.75" customHeight="1" x14ac:dyDescent="0.3"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</row>
    <row r="611" spans="7:40" ht="15.75" customHeight="1" x14ac:dyDescent="0.3"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</row>
    <row r="612" spans="7:40" ht="15.75" customHeight="1" x14ac:dyDescent="0.3"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</row>
    <row r="613" spans="7:40" ht="15.75" customHeight="1" x14ac:dyDescent="0.3"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</row>
    <row r="614" spans="7:40" ht="15.75" customHeight="1" x14ac:dyDescent="0.3"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</row>
    <row r="615" spans="7:40" ht="15.75" customHeight="1" x14ac:dyDescent="0.3"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</row>
    <row r="616" spans="7:40" ht="15.75" customHeight="1" x14ac:dyDescent="0.3"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</row>
    <row r="617" spans="7:40" ht="15.75" customHeight="1" x14ac:dyDescent="0.3"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</row>
    <row r="618" spans="7:40" ht="15.75" customHeight="1" x14ac:dyDescent="0.3"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</row>
    <row r="619" spans="7:40" ht="15.75" customHeight="1" x14ac:dyDescent="0.3"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</row>
    <row r="620" spans="7:40" ht="15.75" customHeight="1" x14ac:dyDescent="0.3"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</row>
    <row r="621" spans="7:40" ht="15.75" customHeight="1" x14ac:dyDescent="0.3"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</row>
    <row r="622" spans="7:40" ht="15.75" customHeight="1" x14ac:dyDescent="0.3"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</row>
    <row r="623" spans="7:40" ht="15.75" customHeight="1" x14ac:dyDescent="0.3"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</row>
    <row r="624" spans="7:40" ht="15.75" customHeight="1" x14ac:dyDescent="0.3"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</row>
    <row r="625" spans="7:40" ht="15.75" customHeight="1" x14ac:dyDescent="0.3"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</row>
    <row r="626" spans="7:40" ht="15.75" customHeight="1" x14ac:dyDescent="0.3"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</row>
    <row r="627" spans="7:40" ht="15.75" customHeight="1" x14ac:dyDescent="0.3"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</row>
    <row r="628" spans="7:40" ht="15.75" customHeight="1" x14ac:dyDescent="0.3"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</row>
    <row r="629" spans="7:40" ht="15.75" customHeight="1" x14ac:dyDescent="0.3"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</row>
    <row r="630" spans="7:40" ht="15.75" customHeight="1" x14ac:dyDescent="0.3"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</row>
    <row r="631" spans="7:40" ht="15.75" customHeight="1" x14ac:dyDescent="0.3"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</row>
    <row r="632" spans="7:40" ht="15.75" customHeight="1" x14ac:dyDescent="0.3"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</row>
    <row r="633" spans="7:40" ht="15.75" customHeight="1" x14ac:dyDescent="0.3"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</row>
    <row r="634" spans="7:40" ht="15.75" customHeight="1" x14ac:dyDescent="0.3"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</row>
    <row r="635" spans="7:40" ht="15.75" customHeight="1" x14ac:dyDescent="0.3"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</row>
    <row r="636" spans="7:40" ht="15.75" customHeight="1" x14ac:dyDescent="0.3"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</row>
    <row r="637" spans="7:40" ht="15.75" customHeight="1" x14ac:dyDescent="0.3"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</row>
    <row r="638" spans="7:40" ht="15.75" customHeight="1" x14ac:dyDescent="0.3"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</row>
    <row r="639" spans="7:40" ht="15.75" customHeight="1" x14ac:dyDescent="0.3"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</row>
    <row r="640" spans="7:40" ht="15.75" customHeight="1" x14ac:dyDescent="0.3"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</row>
    <row r="641" spans="7:40" ht="15.75" customHeight="1" x14ac:dyDescent="0.3"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</row>
    <row r="642" spans="7:40" ht="15.75" customHeight="1" x14ac:dyDescent="0.3"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</row>
    <row r="643" spans="7:40" ht="15.75" customHeight="1" x14ac:dyDescent="0.3"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</row>
    <row r="644" spans="7:40" ht="15.75" customHeight="1" x14ac:dyDescent="0.3"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</row>
    <row r="645" spans="7:40" ht="15.75" customHeight="1" x14ac:dyDescent="0.3"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</row>
    <row r="646" spans="7:40" ht="15.75" customHeight="1" x14ac:dyDescent="0.3"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</row>
    <row r="647" spans="7:40" ht="15.75" customHeight="1" x14ac:dyDescent="0.3"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</row>
    <row r="648" spans="7:40" ht="15.75" customHeight="1" x14ac:dyDescent="0.3"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</row>
    <row r="649" spans="7:40" ht="15.75" customHeight="1" x14ac:dyDescent="0.3"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</row>
    <row r="650" spans="7:40" ht="15.75" customHeight="1" x14ac:dyDescent="0.3"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</row>
    <row r="651" spans="7:40" ht="15.75" customHeight="1" x14ac:dyDescent="0.3"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</row>
    <row r="652" spans="7:40" ht="15.75" customHeight="1" x14ac:dyDescent="0.3"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</row>
    <row r="653" spans="7:40" ht="15.75" customHeight="1" x14ac:dyDescent="0.3"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</row>
    <row r="654" spans="7:40" ht="15.75" customHeight="1" x14ac:dyDescent="0.3"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</row>
    <row r="655" spans="7:40" ht="15.75" customHeight="1" x14ac:dyDescent="0.3"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</row>
    <row r="656" spans="7:40" ht="15.75" customHeight="1" x14ac:dyDescent="0.3"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</row>
    <row r="657" spans="7:40" ht="15.75" customHeight="1" x14ac:dyDescent="0.3"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</row>
    <row r="658" spans="7:40" ht="15.75" customHeight="1" x14ac:dyDescent="0.3"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</row>
    <row r="659" spans="7:40" ht="15.75" customHeight="1" x14ac:dyDescent="0.3"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</row>
    <row r="660" spans="7:40" ht="15.75" customHeight="1" x14ac:dyDescent="0.3"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</row>
    <row r="661" spans="7:40" ht="15.75" customHeight="1" x14ac:dyDescent="0.3"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</row>
    <row r="662" spans="7:40" ht="15.75" customHeight="1" x14ac:dyDescent="0.3"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</row>
    <row r="663" spans="7:40" ht="15.75" customHeight="1" x14ac:dyDescent="0.3"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</row>
    <row r="664" spans="7:40" ht="15.75" customHeight="1" x14ac:dyDescent="0.3"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</row>
    <row r="665" spans="7:40" ht="15.75" customHeight="1" x14ac:dyDescent="0.3"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</row>
    <row r="666" spans="7:40" ht="15.75" customHeight="1" x14ac:dyDescent="0.3"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</row>
    <row r="667" spans="7:40" ht="15.75" customHeight="1" x14ac:dyDescent="0.3"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</row>
    <row r="668" spans="7:40" ht="15.75" customHeight="1" x14ac:dyDescent="0.3"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</row>
    <row r="669" spans="7:40" ht="15.75" customHeight="1" x14ac:dyDescent="0.3"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</row>
    <row r="670" spans="7:40" ht="15.75" customHeight="1" x14ac:dyDescent="0.3"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</row>
    <row r="671" spans="7:40" ht="15.75" customHeight="1" x14ac:dyDescent="0.3"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</row>
    <row r="672" spans="7:40" ht="15.75" customHeight="1" x14ac:dyDescent="0.3"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</row>
    <row r="673" spans="7:40" ht="15.75" customHeight="1" x14ac:dyDescent="0.3"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</row>
    <row r="674" spans="7:40" ht="15.75" customHeight="1" x14ac:dyDescent="0.3"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</row>
    <row r="675" spans="7:40" ht="15.75" customHeight="1" x14ac:dyDescent="0.3"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</row>
    <row r="676" spans="7:40" ht="15.75" customHeight="1" x14ac:dyDescent="0.3"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</row>
    <row r="677" spans="7:40" ht="15.75" customHeight="1" x14ac:dyDescent="0.3"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</row>
    <row r="678" spans="7:40" ht="15.75" customHeight="1" x14ac:dyDescent="0.3"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</row>
    <row r="679" spans="7:40" ht="15.75" customHeight="1" x14ac:dyDescent="0.3"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</row>
    <row r="680" spans="7:40" ht="15.75" customHeight="1" x14ac:dyDescent="0.3"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</row>
    <row r="681" spans="7:40" ht="15.75" customHeight="1" x14ac:dyDescent="0.3"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</row>
    <row r="682" spans="7:40" ht="15.75" customHeight="1" x14ac:dyDescent="0.3"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</row>
    <row r="683" spans="7:40" ht="15.75" customHeight="1" x14ac:dyDescent="0.3"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</row>
    <row r="684" spans="7:40" ht="15.75" customHeight="1" x14ac:dyDescent="0.3"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</row>
    <row r="685" spans="7:40" ht="15.75" customHeight="1" x14ac:dyDescent="0.3"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</row>
    <row r="686" spans="7:40" ht="15.75" customHeight="1" x14ac:dyDescent="0.3"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</row>
    <row r="687" spans="7:40" ht="15.75" customHeight="1" x14ac:dyDescent="0.3"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</row>
    <row r="688" spans="7:40" ht="15.75" customHeight="1" x14ac:dyDescent="0.3"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</row>
    <row r="689" spans="7:40" ht="15.75" customHeight="1" x14ac:dyDescent="0.3"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</row>
    <row r="690" spans="7:40" ht="15.75" customHeight="1" x14ac:dyDescent="0.3"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</row>
    <row r="691" spans="7:40" ht="15.75" customHeight="1" x14ac:dyDescent="0.3"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</row>
    <row r="692" spans="7:40" ht="15.75" customHeight="1" x14ac:dyDescent="0.3"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</row>
    <row r="693" spans="7:40" ht="15.75" customHeight="1" x14ac:dyDescent="0.3"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</row>
    <row r="694" spans="7:40" ht="15.75" customHeight="1" x14ac:dyDescent="0.3"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</row>
    <row r="695" spans="7:40" ht="15.75" customHeight="1" x14ac:dyDescent="0.3"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</row>
    <row r="696" spans="7:40" ht="15.75" customHeight="1" x14ac:dyDescent="0.3"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</row>
    <row r="697" spans="7:40" ht="15.75" customHeight="1" x14ac:dyDescent="0.3"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</row>
    <row r="698" spans="7:40" ht="15.75" customHeight="1" x14ac:dyDescent="0.3"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</row>
    <row r="699" spans="7:40" ht="15.75" customHeight="1" x14ac:dyDescent="0.3"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</row>
    <row r="700" spans="7:40" ht="15.75" customHeight="1" x14ac:dyDescent="0.3"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</row>
    <row r="701" spans="7:40" ht="15.75" customHeight="1" x14ac:dyDescent="0.3"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</row>
    <row r="702" spans="7:40" ht="15.75" customHeight="1" x14ac:dyDescent="0.3"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</row>
    <row r="703" spans="7:40" ht="15.75" customHeight="1" x14ac:dyDescent="0.3"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</row>
    <row r="704" spans="7:40" ht="15.75" customHeight="1" x14ac:dyDescent="0.3"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</row>
    <row r="705" spans="7:40" ht="15.75" customHeight="1" x14ac:dyDescent="0.3"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</row>
    <row r="706" spans="7:40" ht="15.75" customHeight="1" x14ac:dyDescent="0.3"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</row>
    <row r="707" spans="7:40" ht="15.75" customHeight="1" x14ac:dyDescent="0.3"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</row>
    <row r="708" spans="7:40" ht="15.75" customHeight="1" x14ac:dyDescent="0.3"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</row>
    <row r="709" spans="7:40" ht="15.75" customHeight="1" x14ac:dyDescent="0.3"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</row>
    <row r="710" spans="7:40" ht="15.75" customHeight="1" x14ac:dyDescent="0.3"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</row>
    <row r="711" spans="7:40" ht="15.75" customHeight="1" x14ac:dyDescent="0.3"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</row>
    <row r="712" spans="7:40" ht="15.75" customHeight="1" x14ac:dyDescent="0.3"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</row>
    <row r="713" spans="7:40" ht="15.75" customHeight="1" x14ac:dyDescent="0.3"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</row>
    <row r="714" spans="7:40" ht="15.75" customHeight="1" x14ac:dyDescent="0.3"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</row>
    <row r="715" spans="7:40" ht="15.75" customHeight="1" x14ac:dyDescent="0.3"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</row>
    <row r="716" spans="7:40" ht="15.75" customHeight="1" x14ac:dyDescent="0.3"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</row>
    <row r="717" spans="7:40" ht="15.75" customHeight="1" x14ac:dyDescent="0.3"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</row>
    <row r="718" spans="7:40" ht="15.75" customHeight="1" x14ac:dyDescent="0.3"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</row>
    <row r="719" spans="7:40" ht="15.75" customHeight="1" x14ac:dyDescent="0.3"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</row>
    <row r="720" spans="7:40" ht="15.75" customHeight="1" x14ac:dyDescent="0.3"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</row>
    <row r="721" spans="7:40" ht="15.75" customHeight="1" x14ac:dyDescent="0.3"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</row>
    <row r="722" spans="7:40" ht="15.75" customHeight="1" x14ac:dyDescent="0.3"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</row>
    <row r="723" spans="7:40" ht="15.75" customHeight="1" x14ac:dyDescent="0.3"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</row>
    <row r="724" spans="7:40" ht="15.75" customHeight="1" x14ac:dyDescent="0.3"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</row>
    <row r="725" spans="7:40" ht="15.75" customHeight="1" x14ac:dyDescent="0.3"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</row>
    <row r="726" spans="7:40" ht="15.75" customHeight="1" x14ac:dyDescent="0.3"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</row>
    <row r="727" spans="7:40" ht="15.75" customHeight="1" x14ac:dyDescent="0.3"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</row>
    <row r="728" spans="7:40" ht="15.75" customHeight="1" x14ac:dyDescent="0.3"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</row>
    <row r="729" spans="7:40" ht="15.75" customHeight="1" x14ac:dyDescent="0.3"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</row>
    <row r="730" spans="7:40" ht="15.75" customHeight="1" x14ac:dyDescent="0.3"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</row>
    <row r="731" spans="7:40" ht="15.75" customHeight="1" x14ac:dyDescent="0.3"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</row>
    <row r="732" spans="7:40" ht="15.75" customHeight="1" x14ac:dyDescent="0.3"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</row>
    <row r="733" spans="7:40" ht="15.75" customHeight="1" x14ac:dyDescent="0.3"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</row>
    <row r="734" spans="7:40" ht="15.75" customHeight="1" x14ac:dyDescent="0.3"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</row>
    <row r="735" spans="7:40" ht="15.75" customHeight="1" x14ac:dyDescent="0.3"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</row>
    <row r="736" spans="7:40" ht="15.75" customHeight="1" x14ac:dyDescent="0.3"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</row>
    <row r="737" spans="7:40" ht="15.75" customHeight="1" x14ac:dyDescent="0.3"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</row>
    <row r="738" spans="7:40" ht="15.75" customHeight="1" x14ac:dyDescent="0.3"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</row>
    <row r="739" spans="7:40" ht="15.75" customHeight="1" x14ac:dyDescent="0.3"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</row>
    <row r="740" spans="7:40" ht="15.75" customHeight="1" x14ac:dyDescent="0.3"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</row>
    <row r="741" spans="7:40" ht="15.75" customHeight="1" x14ac:dyDescent="0.3"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</row>
    <row r="742" spans="7:40" ht="15.75" customHeight="1" x14ac:dyDescent="0.3"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</row>
    <row r="743" spans="7:40" ht="15.75" customHeight="1" x14ac:dyDescent="0.3"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</row>
    <row r="744" spans="7:40" ht="15.75" customHeight="1" x14ac:dyDescent="0.3"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</row>
    <row r="745" spans="7:40" ht="15.75" customHeight="1" x14ac:dyDescent="0.3"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</row>
    <row r="746" spans="7:40" ht="15.75" customHeight="1" x14ac:dyDescent="0.3"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</row>
    <row r="747" spans="7:40" ht="15.75" customHeight="1" x14ac:dyDescent="0.3"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</row>
    <row r="748" spans="7:40" ht="15.75" customHeight="1" x14ac:dyDescent="0.3"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</row>
    <row r="749" spans="7:40" ht="15.75" customHeight="1" x14ac:dyDescent="0.3"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</row>
    <row r="750" spans="7:40" ht="15.75" customHeight="1" x14ac:dyDescent="0.3"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</row>
    <row r="751" spans="7:40" ht="15.75" customHeight="1" x14ac:dyDescent="0.3"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</row>
    <row r="752" spans="7:40" ht="15.75" customHeight="1" x14ac:dyDescent="0.3"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</row>
    <row r="753" spans="7:40" ht="15.75" customHeight="1" x14ac:dyDescent="0.3"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</row>
    <row r="754" spans="7:40" ht="15.75" customHeight="1" x14ac:dyDescent="0.3"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</row>
    <row r="755" spans="7:40" ht="15.75" customHeight="1" x14ac:dyDescent="0.3"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</row>
    <row r="756" spans="7:40" ht="15.75" customHeight="1" x14ac:dyDescent="0.3"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</row>
    <row r="757" spans="7:40" ht="15.75" customHeight="1" x14ac:dyDescent="0.3"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</row>
    <row r="758" spans="7:40" ht="15.75" customHeight="1" x14ac:dyDescent="0.3"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</row>
    <row r="759" spans="7:40" ht="15.75" customHeight="1" x14ac:dyDescent="0.3"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</row>
    <row r="760" spans="7:40" ht="15.75" customHeight="1" x14ac:dyDescent="0.3"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</row>
    <row r="761" spans="7:40" ht="15.75" customHeight="1" x14ac:dyDescent="0.3"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</row>
    <row r="762" spans="7:40" ht="15.75" customHeight="1" x14ac:dyDescent="0.3"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</row>
    <row r="763" spans="7:40" ht="15.75" customHeight="1" x14ac:dyDescent="0.3"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</row>
    <row r="764" spans="7:40" ht="15.75" customHeight="1" x14ac:dyDescent="0.3"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</row>
    <row r="765" spans="7:40" ht="15.75" customHeight="1" x14ac:dyDescent="0.3"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</row>
    <row r="766" spans="7:40" ht="15.75" customHeight="1" x14ac:dyDescent="0.3"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</row>
    <row r="767" spans="7:40" ht="15.75" customHeight="1" x14ac:dyDescent="0.3"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</row>
    <row r="768" spans="7:40" ht="15.75" customHeight="1" x14ac:dyDescent="0.3"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</row>
    <row r="769" spans="7:40" ht="15.75" customHeight="1" x14ac:dyDescent="0.3"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</row>
    <row r="770" spans="7:40" ht="15.75" customHeight="1" x14ac:dyDescent="0.3"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</row>
    <row r="771" spans="7:40" ht="15.75" customHeight="1" x14ac:dyDescent="0.3"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</row>
    <row r="772" spans="7:40" ht="15.75" customHeight="1" x14ac:dyDescent="0.3"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</row>
    <row r="773" spans="7:40" ht="15.75" customHeight="1" x14ac:dyDescent="0.3"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</row>
    <row r="774" spans="7:40" ht="15.75" customHeight="1" x14ac:dyDescent="0.3"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</row>
    <row r="775" spans="7:40" ht="15.75" customHeight="1" x14ac:dyDescent="0.3"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</row>
    <row r="776" spans="7:40" ht="15.75" customHeight="1" x14ac:dyDescent="0.3"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</row>
    <row r="777" spans="7:40" ht="15.75" customHeight="1" x14ac:dyDescent="0.3"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</row>
    <row r="778" spans="7:40" ht="15.75" customHeight="1" x14ac:dyDescent="0.3"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</row>
    <row r="779" spans="7:40" ht="15.75" customHeight="1" x14ac:dyDescent="0.3"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</row>
    <row r="780" spans="7:40" ht="15.75" customHeight="1" x14ac:dyDescent="0.3"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</row>
    <row r="781" spans="7:40" ht="15.75" customHeight="1" x14ac:dyDescent="0.3"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</row>
    <row r="782" spans="7:40" ht="15.75" customHeight="1" x14ac:dyDescent="0.3"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</row>
    <row r="783" spans="7:40" ht="15.75" customHeight="1" x14ac:dyDescent="0.3"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</row>
    <row r="784" spans="7:40" ht="15.75" customHeight="1" x14ac:dyDescent="0.3"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</row>
    <row r="785" spans="7:40" ht="15.75" customHeight="1" x14ac:dyDescent="0.3"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</row>
    <row r="786" spans="7:40" ht="15.75" customHeight="1" x14ac:dyDescent="0.3"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</row>
    <row r="787" spans="7:40" ht="15.75" customHeight="1" x14ac:dyDescent="0.3"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</row>
    <row r="788" spans="7:40" ht="15.75" customHeight="1" x14ac:dyDescent="0.3"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</row>
    <row r="789" spans="7:40" ht="15.75" customHeight="1" x14ac:dyDescent="0.3"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</row>
    <row r="790" spans="7:40" ht="15.75" customHeight="1" x14ac:dyDescent="0.3"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</row>
    <row r="791" spans="7:40" ht="15.75" customHeight="1" x14ac:dyDescent="0.3"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</row>
    <row r="792" spans="7:40" ht="15.75" customHeight="1" x14ac:dyDescent="0.3"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</row>
    <row r="793" spans="7:40" ht="15.75" customHeight="1" x14ac:dyDescent="0.3"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</row>
    <row r="794" spans="7:40" ht="15.75" customHeight="1" x14ac:dyDescent="0.3"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</row>
    <row r="795" spans="7:40" ht="15.75" customHeight="1" x14ac:dyDescent="0.3"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</row>
    <row r="796" spans="7:40" ht="15.75" customHeight="1" x14ac:dyDescent="0.3"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</row>
    <row r="797" spans="7:40" ht="15.75" customHeight="1" x14ac:dyDescent="0.3"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</row>
    <row r="798" spans="7:40" ht="15.75" customHeight="1" x14ac:dyDescent="0.3"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</row>
    <row r="799" spans="7:40" ht="15.75" customHeight="1" x14ac:dyDescent="0.3"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</row>
    <row r="800" spans="7:40" ht="15.75" customHeight="1" x14ac:dyDescent="0.3"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</row>
    <row r="801" spans="7:40" ht="15.75" customHeight="1" x14ac:dyDescent="0.3"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</row>
    <row r="802" spans="7:40" ht="15.75" customHeight="1" x14ac:dyDescent="0.3"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</row>
    <row r="803" spans="7:40" ht="15.75" customHeight="1" x14ac:dyDescent="0.3"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</row>
    <row r="804" spans="7:40" ht="15.75" customHeight="1" x14ac:dyDescent="0.3"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</row>
    <row r="805" spans="7:40" ht="15.75" customHeight="1" x14ac:dyDescent="0.3"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</row>
    <row r="806" spans="7:40" ht="15.75" customHeight="1" x14ac:dyDescent="0.3"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</row>
    <row r="807" spans="7:40" ht="15.75" customHeight="1" x14ac:dyDescent="0.3"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</row>
    <row r="808" spans="7:40" ht="15.75" customHeight="1" x14ac:dyDescent="0.3"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</row>
    <row r="809" spans="7:40" ht="15.75" customHeight="1" x14ac:dyDescent="0.3"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</row>
    <row r="810" spans="7:40" ht="15.75" customHeight="1" x14ac:dyDescent="0.3"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</row>
    <row r="811" spans="7:40" ht="15.75" customHeight="1" x14ac:dyDescent="0.3"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</row>
    <row r="812" spans="7:40" ht="15.75" customHeight="1" x14ac:dyDescent="0.3"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</row>
    <row r="813" spans="7:40" ht="15.75" customHeight="1" x14ac:dyDescent="0.3"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</row>
    <row r="814" spans="7:40" ht="15.75" customHeight="1" x14ac:dyDescent="0.3"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</row>
    <row r="815" spans="7:40" ht="15.75" customHeight="1" x14ac:dyDescent="0.3"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</row>
    <row r="816" spans="7:40" ht="15.75" customHeight="1" x14ac:dyDescent="0.3"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</row>
    <row r="817" spans="7:40" ht="15.75" customHeight="1" x14ac:dyDescent="0.3"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</row>
    <row r="818" spans="7:40" ht="15.75" customHeight="1" x14ac:dyDescent="0.3"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</row>
    <row r="819" spans="7:40" ht="15.75" customHeight="1" x14ac:dyDescent="0.3"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</row>
    <row r="820" spans="7:40" ht="15.75" customHeight="1" x14ac:dyDescent="0.3"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</row>
    <row r="821" spans="7:40" ht="15.75" customHeight="1" x14ac:dyDescent="0.3"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</row>
    <row r="822" spans="7:40" ht="15.75" customHeight="1" x14ac:dyDescent="0.3"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</row>
    <row r="823" spans="7:40" ht="15.75" customHeight="1" x14ac:dyDescent="0.3"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</row>
    <row r="824" spans="7:40" ht="15.75" customHeight="1" x14ac:dyDescent="0.3"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</row>
    <row r="825" spans="7:40" ht="15.75" customHeight="1" x14ac:dyDescent="0.3"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</row>
    <row r="826" spans="7:40" ht="15.75" customHeight="1" x14ac:dyDescent="0.3"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</row>
    <row r="827" spans="7:40" ht="15.75" customHeight="1" x14ac:dyDescent="0.3"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</row>
    <row r="828" spans="7:40" ht="15.75" customHeight="1" x14ac:dyDescent="0.3"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</row>
    <row r="829" spans="7:40" ht="15.75" customHeight="1" x14ac:dyDescent="0.3"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</row>
    <row r="830" spans="7:40" ht="15.75" customHeight="1" x14ac:dyDescent="0.3"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</row>
    <row r="831" spans="7:40" ht="15.75" customHeight="1" x14ac:dyDescent="0.3"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</row>
    <row r="832" spans="7:40" ht="15.75" customHeight="1" x14ac:dyDescent="0.3"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</row>
    <row r="833" spans="7:40" ht="15.75" customHeight="1" x14ac:dyDescent="0.3"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</row>
    <row r="834" spans="7:40" ht="15.75" customHeight="1" x14ac:dyDescent="0.3"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</row>
    <row r="835" spans="7:40" ht="15.75" customHeight="1" x14ac:dyDescent="0.3"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</row>
    <row r="836" spans="7:40" ht="15.75" customHeight="1" x14ac:dyDescent="0.3"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</row>
    <row r="837" spans="7:40" ht="15.75" customHeight="1" x14ac:dyDescent="0.3"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</row>
    <row r="838" spans="7:40" ht="15.75" customHeight="1" x14ac:dyDescent="0.3"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</row>
    <row r="839" spans="7:40" ht="15.75" customHeight="1" x14ac:dyDescent="0.3"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</row>
    <row r="840" spans="7:40" ht="15.75" customHeight="1" x14ac:dyDescent="0.3"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</row>
    <row r="841" spans="7:40" ht="15.75" customHeight="1" x14ac:dyDescent="0.3"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</row>
    <row r="842" spans="7:40" ht="15.75" customHeight="1" x14ac:dyDescent="0.3"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</row>
    <row r="843" spans="7:40" ht="15.75" customHeight="1" x14ac:dyDescent="0.3"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</row>
    <row r="844" spans="7:40" ht="15.75" customHeight="1" x14ac:dyDescent="0.3"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</row>
    <row r="845" spans="7:40" ht="15.75" customHeight="1" x14ac:dyDescent="0.3"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</row>
    <row r="846" spans="7:40" ht="15.75" customHeight="1" x14ac:dyDescent="0.3"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</row>
    <row r="847" spans="7:40" ht="15.75" customHeight="1" x14ac:dyDescent="0.3"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</row>
    <row r="848" spans="7:40" ht="15.75" customHeight="1" x14ac:dyDescent="0.3"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</row>
    <row r="849" spans="7:40" ht="15.75" customHeight="1" x14ac:dyDescent="0.3"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</row>
    <row r="850" spans="7:40" ht="15.75" customHeight="1" x14ac:dyDescent="0.3"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</row>
    <row r="851" spans="7:40" ht="15.75" customHeight="1" x14ac:dyDescent="0.3"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</row>
    <row r="852" spans="7:40" ht="15.75" customHeight="1" x14ac:dyDescent="0.3"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</row>
    <row r="853" spans="7:40" ht="15.75" customHeight="1" x14ac:dyDescent="0.3"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</row>
    <row r="854" spans="7:40" ht="15.75" customHeight="1" x14ac:dyDescent="0.3"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</row>
    <row r="855" spans="7:40" ht="15.75" customHeight="1" x14ac:dyDescent="0.3"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</row>
    <row r="856" spans="7:40" ht="15.75" customHeight="1" x14ac:dyDescent="0.3"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</row>
    <row r="857" spans="7:40" ht="15.75" customHeight="1" x14ac:dyDescent="0.3"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</row>
    <row r="858" spans="7:40" ht="15.75" customHeight="1" x14ac:dyDescent="0.3"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</row>
    <row r="859" spans="7:40" ht="15.75" customHeight="1" x14ac:dyDescent="0.3"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</row>
    <row r="860" spans="7:40" ht="15.75" customHeight="1" x14ac:dyDescent="0.3"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</row>
    <row r="861" spans="7:40" ht="15.75" customHeight="1" x14ac:dyDescent="0.3"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</row>
    <row r="862" spans="7:40" ht="15.75" customHeight="1" x14ac:dyDescent="0.3"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</row>
    <row r="863" spans="7:40" ht="15.75" customHeight="1" x14ac:dyDescent="0.3"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</row>
    <row r="864" spans="7:40" ht="15.75" customHeight="1" x14ac:dyDescent="0.3"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</row>
    <row r="865" spans="7:40" ht="15.75" customHeight="1" x14ac:dyDescent="0.3"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</row>
    <row r="866" spans="7:40" ht="15.75" customHeight="1" x14ac:dyDescent="0.3"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</row>
    <row r="867" spans="7:40" ht="15.75" customHeight="1" x14ac:dyDescent="0.3"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</row>
    <row r="868" spans="7:40" ht="15.75" customHeight="1" x14ac:dyDescent="0.3"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</row>
    <row r="869" spans="7:40" ht="15.75" customHeight="1" x14ac:dyDescent="0.3"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</row>
    <row r="870" spans="7:40" ht="15.75" customHeight="1" x14ac:dyDescent="0.3"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</row>
    <row r="871" spans="7:40" ht="15.75" customHeight="1" x14ac:dyDescent="0.3"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</row>
    <row r="872" spans="7:40" ht="15.75" customHeight="1" x14ac:dyDescent="0.3"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</row>
    <row r="873" spans="7:40" ht="15.75" customHeight="1" x14ac:dyDescent="0.3"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</row>
    <row r="874" spans="7:40" ht="15.75" customHeight="1" x14ac:dyDescent="0.3"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</row>
    <row r="875" spans="7:40" ht="15.75" customHeight="1" x14ac:dyDescent="0.3"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</row>
    <row r="876" spans="7:40" ht="15.75" customHeight="1" x14ac:dyDescent="0.3"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</row>
    <row r="877" spans="7:40" ht="15.75" customHeight="1" x14ac:dyDescent="0.3"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</row>
    <row r="878" spans="7:40" ht="15.75" customHeight="1" x14ac:dyDescent="0.3"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</row>
    <row r="879" spans="7:40" ht="15.75" customHeight="1" x14ac:dyDescent="0.3"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</row>
    <row r="880" spans="7:40" ht="15.75" customHeight="1" x14ac:dyDescent="0.3"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</row>
    <row r="881" spans="7:40" ht="15.75" customHeight="1" x14ac:dyDescent="0.3"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</row>
    <row r="882" spans="7:40" ht="15.75" customHeight="1" x14ac:dyDescent="0.3"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</row>
    <row r="883" spans="7:40" ht="15.75" customHeight="1" x14ac:dyDescent="0.3"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</row>
    <row r="884" spans="7:40" ht="15.75" customHeight="1" x14ac:dyDescent="0.3"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</row>
    <row r="885" spans="7:40" ht="15.75" customHeight="1" x14ac:dyDescent="0.3"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</row>
    <row r="886" spans="7:40" ht="15.75" customHeight="1" x14ac:dyDescent="0.3"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</row>
    <row r="887" spans="7:40" ht="15.75" customHeight="1" x14ac:dyDescent="0.3"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</row>
    <row r="888" spans="7:40" ht="15.75" customHeight="1" x14ac:dyDescent="0.3"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</row>
    <row r="889" spans="7:40" ht="15.75" customHeight="1" x14ac:dyDescent="0.3"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</row>
    <row r="890" spans="7:40" ht="15.75" customHeight="1" x14ac:dyDescent="0.3"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</row>
    <row r="891" spans="7:40" ht="15.75" customHeight="1" x14ac:dyDescent="0.3"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</row>
    <row r="892" spans="7:40" ht="15.75" customHeight="1" x14ac:dyDescent="0.3"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</row>
    <row r="893" spans="7:40" ht="15.75" customHeight="1" x14ac:dyDescent="0.3"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</row>
    <row r="894" spans="7:40" ht="15.75" customHeight="1" x14ac:dyDescent="0.3"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</row>
    <row r="895" spans="7:40" ht="15.75" customHeight="1" x14ac:dyDescent="0.3"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</row>
    <row r="896" spans="7:40" ht="15.75" customHeight="1" x14ac:dyDescent="0.3"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</row>
    <row r="897" spans="7:40" ht="15.75" customHeight="1" x14ac:dyDescent="0.3"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</row>
    <row r="898" spans="7:40" ht="15.75" customHeight="1" x14ac:dyDescent="0.3"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</row>
    <row r="899" spans="7:40" ht="15.75" customHeight="1" x14ac:dyDescent="0.3"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</row>
    <row r="900" spans="7:40" ht="15.75" customHeight="1" x14ac:dyDescent="0.3"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</row>
    <row r="901" spans="7:40" ht="15.75" customHeight="1" x14ac:dyDescent="0.3"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</row>
    <row r="902" spans="7:40" ht="15.75" customHeight="1" x14ac:dyDescent="0.3"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</row>
    <row r="903" spans="7:40" ht="15.75" customHeight="1" x14ac:dyDescent="0.3"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</row>
    <row r="904" spans="7:40" ht="15.75" customHeight="1" x14ac:dyDescent="0.3"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</row>
    <row r="905" spans="7:40" ht="15.75" customHeight="1" x14ac:dyDescent="0.3"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</row>
    <row r="906" spans="7:40" ht="15.75" customHeight="1" x14ac:dyDescent="0.3"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</row>
    <row r="907" spans="7:40" ht="15.75" customHeight="1" x14ac:dyDescent="0.3"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</row>
    <row r="908" spans="7:40" ht="15.75" customHeight="1" x14ac:dyDescent="0.3"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</row>
    <row r="909" spans="7:40" ht="15.75" customHeight="1" x14ac:dyDescent="0.3"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</row>
    <row r="910" spans="7:40" ht="15.75" customHeight="1" x14ac:dyDescent="0.3"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</row>
    <row r="911" spans="7:40" ht="15.75" customHeight="1" x14ac:dyDescent="0.3"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</row>
    <row r="912" spans="7:40" ht="15.75" customHeight="1" x14ac:dyDescent="0.3"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</row>
    <row r="913" spans="7:40" ht="15.75" customHeight="1" x14ac:dyDescent="0.3"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</row>
    <row r="914" spans="7:40" ht="15.75" customHeight="1" x14ac:dyDescent="0.3"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</row>
    <row r="915" spans="7:40" ht="15.75" customHeight="1" x14ac:dyDescent="0.3"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</row>
    <row r="916" spans="7:40" ht="15.75" customHeight="1" x14ac:dyDescent="0.3"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</row>
    <row r="917" spans="7:40" ht="15.75" customHeight="1" x14ac:dyDescent="0.3"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</row>
    <row r="918" spans="7:40" ht="15.75" customHeight="1" x14ac:dyDescent="0.3"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</row>
    <row r="919" spans="7:40" ht="15.75" customHeight="1" x14ac:dyDescent="0.3"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</row>
    <row r="920" spans="7:40" ht="15.75" customHeight="1" x14ac:dyDescent="0.3"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</row>
    <row r="921" spans="7:40" ht="15.75" customHeight="1" x14ac:dyDescent="0.3"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</row>
    <row r="922" spans="7:40" ht="15.75" customHeight="1" x14ac:dyDescent="0.3"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</row>
    <row r="923" spans="7:40" ht="15.75" customHeight="1" x14ac:dyDescent="0.3"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</row>
    <row r="924" spans="7:40" ht="15.75" customHeight="1" x14ac:dyDescent="0.3"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</row>
    <row r="925" spans="7:40" ht="15.75" customHeight="1" x14ac:dyDescent="0.3"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</row>
    <row r="926" spans="7:40" ht="15.75" customHeight="1" x14ac:dyDescent="0.3"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</row>
    <row r="927" spans="7:40" ht="15.75" customHeight="1" x14ac:dyDescent="0.3"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</row>
    <row r="928" spans="7:40" ht="15.75" customHeight="1" x14ac:dyDescent="0.3"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</row>
    <row r="929" spans="7:40" ht="15.75" customHeight="1" x14ac:dyDescent="0.3"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</row>
    <row r="930" spans="7:40" ht="15.75" customHeight="1" x14ac:dyDescent="0.3"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</row>
    <row r="931" spans="7:40" ht="15.75" customHeight="1" x14ac:dyDescent="0.3"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</row>
    <row r="932" spans="7:40" ht="15.75" customHeight="1" x14ac:dyDescent="0.3"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</row>
    <row r="933" spans="7:40" ht="15.75" customHeight="1" x14ac:dyDescent="0.3"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</row>
    <row r="934" spans="7:40" ht="15.75" customHeight="1" x14ac:dyDescent="0.3"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</row>
    <row r="935" spans="7:40" ht="15.75" customHeight="1" x14ac:dyDescent="0.3"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</row>
    <row r="936" spans="7:40" ht="15.75" customHeight="1" x14ac:dyDescent="0.3"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</row>
    <row r="937" spans="7:40" ht="15.75" customHeight="1" x14ac:dyDescent="0.3"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</row>
    <row r="938" spans="7:40" ht="15.75" customHeight="1" x14ac:dyDescent="0.3"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</row>
    <row r="939" spans="7:40" ht="15.75" customHeight="1" x14ac:dyDescent="0.3"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</row>
    <row r="940" spans="7:40" ht="15.75" customHeight="1" x14ac:dyDescent="0.3"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</row>
    <row r="941" spans="7:40" ht="15.75" customHeight="1" x14ac:dyDescent="0.3"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</row>
    <row r="942" spans="7:40" ht="15.75" customHeight="1" x14ac:dyDescent="0.3"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</row>
    <row r="943" spans="7:40" ht="15.75" customHeight="1" x14ac:dyDescent="0.3"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</row>
    <row r="944" spans="7:40" ht="15.75" customHeight="1" x14ac:dyDescent="0.3"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</row>
    <row r="945" spans="7:40" ht="15.75" customHeight="1" x14ac:dyDescent="0.3"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</row>
    <row r="946" spans="7:40" ht="15.75" customHeight="1" x14ac:dyDescent="0.3"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</row>
    <row r="947" spans="7:40" ht="15.75" customHeight="1" x14ac:dyDescent="0.3"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</row>
    <row r="948" spans="7:40" ht="15.75" customHeight="1" x14ac:dyDescent="0.3"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</row>
    <row r="949" spans="7:40" ht="15.75" customHeight="1" x14ac:dyDescent="0.3"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</row>
    <row r="950" spans="7:40" ht="15.75" customHeight="1" x14ac:dyDescent="0.3"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</row>
    <row r="951" spans="7:40" ht="15.75" customHeight="1" x14ac:dyDescent="0.3"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</row>
    <row r="952" spans="7:40" ht="15.75" customHeight="1" x14ac:dyDescent="0.3"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</row>
    <row r="953" spans="7:40" ht="15.75" customHeight="1" x14ac:dyDescent="0.3"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</row>
    <row r="954" spans="7:40" ht="15.75" customHeight="1" x14ac:dyDescent="0.3"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</row>
    <row r="955" spans="7:40" ht="15.75" customHeight="1" x14ac:dyDescent="0.3"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</row>
    <row r="956" spans="7:40" ht="15.75" customHeight="1" x14ac:dyDescent="0.3"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</row>
    <row r="957" spans="7:40" ht="15.75" customHeight="1" x14ac:dyDescent="0.3"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</row>
    <row r="958" spans="7:40" ht="15.75" customHeight="1" x14ac:dyDescent="0.3"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</row>
    <row r="959" spans="7:40" ht="15.75" customHeight="1" x14ac:dyDescent="0.3"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</row>
    <row r="960" spans="7:40" ht="15.75" customHeight="1" x14ac:dyDescent="0.3"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</row>
    <row r="961" spans="7:40" ht="15.75" customHeight="1" x14ac:dyDescent="0.3"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</row>
    <row r="962" spans="7:40" ht="15.75" customHeight="1" x14ac:dyDescent="0.3"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</row>
    <row r="963" spans="7:40" ht="15.75" customHeight="1" x14ac:dyDescent="0.3"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</row>
    <row r="964" spans="7:40" ht="15.75" customHeight="1" x14ac:dyDescent="0.3"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</row>
    <row r="965" spans="7:40" ht="15.75" customHeight="1" x14ac:dyDescent="0.3"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</row>
    <row r="966" spans="7:40" ht="15.75" customHeight="1" x14ac:dyDescent="0.3"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</row>
    <row r="967" spans="7:40" ht="15.75" customHeight="1" x14ac:dyDescent="0.3"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</row>
    <row r="968" spans="7:40" ht="15.75" customHeight="1" x14ac:dyDescent="0.3"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</row>
    <row r="969" spans="7:40" ht="15.75" customHeight="1" x14ac:dyDescent="0.3"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</row>
    <row r="970" spans="7:40" ht="15.75" customHeight="1" x14ac:dyDescent="0.3"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</row>
    <row r="971" spans="7:40" ht="15.75" customHeight="1" x14ac:dyDescent="0.3"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</row>
    <row r="972" spans="7:40" ht="15.75" customHeight="1" x14ac:dyDescent="0.3"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</row>
    <row r="973" spans="7:40" ht="15.75" customHeight="1" x14ac:dyDescent="0.3"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</row>
    <row r="974" spans="7:40" ht="15.75" customHeight="1" x14ac:dyDescent="0.3"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</row>
    <row r="975" spans="7:40" ht="15.75" customHeight="1" x14ac:dyDescent="0.3"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</row>
    <row r="976" spans="7:40" ht="15.75" customHeight="1" x14ac:dyDescent="0.3"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</row>
    <row r="977" spans="7:40" ht="15.75" customHeight="1" x14ac:dyDescent="0.3"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</row>
    <row r="978" spans="7:40" ht="15.75" customHeight="1" x14ac:dyDescent="0.3"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</row>
    <row r="979" spans="7:40" ht="15.75" customHeight="1" x14ac:dyDescent="0.3"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</row>
    <row r="980" spans="7:40" ht="15.75" customHeight="1" x14ac:dyDescent="0.3"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</row>
    <row r="981" spans="7:40" ht="15.75" customHeight="1" x14ac:dyDescent="0.3"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</row>
    <row r="982" spans="7:40" ht="15.75" customHeight="1" x14ac:dyDescent="0.3"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</row>
    <row r="983" spans="7:40" ht="15.75" customHeight="1" x14ac:dyDescent="0.3"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</row>
    <row r="984" spans="7:40" ht="15.75" customHeight="1" x14ac:dyDescent="0.3"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</row>
    <row r="985" spans="7:40" ht="15.75" customHeight="1" x14ac:dyDescent="0.3"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</row>
    <row r="986" spans="7:40" ht="15.75" customHeight="1" x14ac:dyDescent="0.3"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</row>
    <row r="987" spans="7:40" ht="15.75" customHeight="1" x14ac:dyDescent="0.3"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</row>
    <row r="988" spans="7:40" ht="15.75" customHeight="1" x14ac:dyDescent="0.3"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</row>
    <row r="989" spans="7:40" ht="15.75" customHeight="1" x14ac:dyDescent="0.3"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</row>
    <row r="990" spans="7:40" ht="15.75" customHeight="1" x14ac:dyDescent="0.3"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</row>
    <row r="991" spans="7:40" ht="15.75" customHeight="1" x14ac:dyDescent="0.3"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</row>
    <row r="992" spans="7:40" ht="15.75" customHeight="1" x14ac:dyDescent="0.3"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</row>
    <row r="993" spans="7:40" ht="15.75" customHeight="1" x14ac:dyDescent="0.3"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</row>
    <row r="994" spans="7:40" ht="15.75" customHeight="1" x14ac:dyDescent="0.3"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</row>
    <row r="995" spans="7:40" ht="15.75" customHeight="1" x14ac:dyDescent="0.3"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</row>
    <row r="996" spans="7:40" ht="15.75" customHeight="1" x14ac:dyDescent="0.3"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</row>
    <row r="997" spans="7:40" ht="15.75" customHeight="1" x14ac:dyDescent="0.3"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</row>
    <row r="998" spans="7:40" ht="15.75" customHeight="1" x14ac:dyDescent="0.3"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</row>
    <row r="999" spans="7:40" ht="15.75" customHeight="1" x14ac:dyDescent="0.3"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</row>
    <row r="1000" spans="7:40" ht="15.75" customHeight="1" x14ac:dyDescent="0.3"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</row>
    <row r="1001" spans="7:40" ht="15.75" customHeight="1" x14ac:dyDescent="0.3"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</row>
  </sheetData>
  <autoFilter ref="A6:F6" xr:uid="{00000000-0009-0000-0000-000001000000}"/>
  <mergeCells count="3">
    <mergeCell ref="U3:Z3"/>
    <mergeCell ref="AL5:AL6"/>
    <mergeCell ref="AM5:AM6"/>
  </mergeCells>
  <conditionalFormatting sqref="C7:C40">
    <cfRule type="expression" dxfId="0" priority="1">
      <formula>C7&gt;#REF!</formula>
    </cfRule>
  </conditionalFormatting>
  <pageMargins left="0.7" right="0.7" top="0.75" bottom="0.75" header="0" footer="0"/>
  <pageSetup paperSize="9" fitToWidth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2026-07-07T18:15:14Z</dcterms:modified>
</cp:coreProperties>
</file>