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ownloads\input\excels\2026\JULIO\"/>
    </mc:Choice>
  </mc:AlternateContent>
  <xr:revisionPtr revIDLastSave="0" documentId="13_ncr:1_{42B85151-C3A1-487E-B52A-DDEC5A53CE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3" i="2" l="1"/>
  <c r="C103" i="2"/>
  <c r="AM102" i="2"/>
  <c r="AN102" i="2" s="1"/>
  <c r="AL102" i="2"/>
  <c r="F102" i="2"/>
  <c r="AL101" i="2"/>
  <c r="AM101" i="2" s="1"/>
  <c r="AN101" i="2" s="1"/>
  <c r="F101" i="2"/>
  <c r="AL100" i="2"/>
  <c r="AM100" i="2" s="1"/>
  <c r="AN100" i="2" s="1"/>
  <c r="F100" i="2"/>
  <c r="AL99" i="2"/>
  <c r="AM99" i="2" s="1"/>
  <c r="AN99" i="2" s="1"/>
  <c r="F99" i="2"/>
  <c r="AL98" i="2"/>
  <c r="AM98" i="2" s="1"/>
  <c r="AN98" i="2" s="1"/>
  <c r="F98" i="2"/>
  <c r="AL97" i="2"/>
  <c r="AM97" i="2" s="1"/>
  <c r="AN97" i="2" s="1"/>
  <c r="F97" i="2"/>
  <c r="AL96" i="2"/>
  <c r="AM96" i="2" s="1"/>
  <c r="AN96" i="2" s="1"/>
  <c r="F96" i="2"/>
  <c r="AL95" i="2"/>
  <c r="AM95" i="2" s="1"/>
  <c r="AN95" i="2" s="1"/>
  <c r="F95" i="2"/>
  <c r="AL94" i="2"/>
  <c r="AM94" i="2" s="1"/>
  <c r="AN94" i="2" s="1"/>
  <c r="F94" i="2"/>
  <c r="AM93" i="2"/>
  <c r="AN93" i="2" s="1"/>
  <c r="AL93" i="2"/>
  <c r="F93" i="2"/>
  <c r="AL92" i="2"/>
  <c r="AM92" i="2" s="1"/>
  <c r="AN92" i="2" s="1"/>
  <c r="F92" i="2"/>
  <c r="AL91" i="2"/>
  <c r="AM91" i="2" s="1"/>
  <c r="AN91" i="2" s="1"/>
  <c r="F91" i="2"/>
  <c r="AL90" i="2"/>
  <c r="AM90" i="2" s="1"/>
  <c r="AN90" i="2" s="1"/>
  <c r="F90" i="2"/>
  <c r="AL89" i="2"/>
  <c r="AM89" i="2" s="1"/>
  <c r="AN89" i="2" s="1"/>
  <c r="F89" i="2"/>
  <c r="AL88" i="2"/>
  <c r="AM88" i="2" s="1"/>
  <c r="AN88" i="2" s="1"/>
  <c r="F88" i="2"/>
  <c r="AL87" i="2"/>
  <c r="AM87" i="2" s="1"/>
  <c r="AN87" i="2" s="1"/>
  <c r="F87" i="2"/>
  <c r="AL86" i="2"/>
  <c r="AM86" i="2" s="1"/>
  <c r="AN86" i="2" s="1"/>
  <c r="F86" i="2"/>
  <c r="AL85" i="2"/>
  <c r="AM85" i="2" s="1"/>
  <c r="AN85" i="2" s="1"/>
  <c r="F85" i="2"/>
  <c r="AL84" i="2"/>
  <c r="AM84" i="2" s="1"/>
  <c r="AN84" i="2" s="1"/>
  <c r="F84" i="2"/>
  <c r="AL83" i="2"/>
  <c r="AM83" i="2" s="1"/>
  <c r="AN83" i="2" s="1"/>
  <c r="F83" i="2"/>
  <c r="AL82" i="2"/>
  <c r="AM82" i="2" s="1"/>
  <c r="AN82" i="2" s="1"/>
  <c r="F82" i="2"/>
  <c r="AL81" i="2"/>
  <c r="AM81" i="2" s="1"/>
  <c r="AN81" i="2" s="1"/>
  <c r="F81" i="2"/>
  <c r="AL80" i="2"/>
  <c r="AM80" i="2" s="1"/>
  <c r="AN80" i="2" s="1"/>
  <c r="F80" i="2"/>
  <c r="AL79" i="2"/>
  <c r="AM79" i="2" s="1"/>
  <c r="AN79" i="2" s="1"/>
  <c r="F79" i="2"/>
  <c r="AM78" i="2"/>
  <c r="AN78" i="2" s="1"/>
  <c r="AL78" i="2"/>
  <c r="F78" i="2"/>
  <c r="AL77" i="2"/>
  <c r="AM77" i="2" s="1"/>
  <c r="AN77" i="2" s="1"/>
  <c r="F77" i="2"/>
  <c r="AL76" i="2"/>
  <c r="AM76" i="2" s="1"/>
  <c r="AN76" i="2" s="1"/>
  <c r="F76" i="2"/>
  <c r="AL75" i="2"/>
  <c r="AM75" i="2" s="1"/>
  <c r="AN75" i="2" s="1"/>
  <c r="F75" i="2"/>
  <c r="AL74" i="2"/>
  <c r="AM74" i="2" s="1"/>
  <c r="AN74" i="2" s="1"/>
  <c r="F74" i="2"/>
  <c r="AL73" i="2"/>
  <c r="AM73" i="2" s="1"/>
  <c r="AN73" i="2" s="1"/>
  <c r="F73" i="2"/>
  <c r="AL72" i="2"/>
  <c r="AM72" i="2" s="1"/>
  <c r="AN72" i="2" s="1"/>
  <c r="F72" i="2"/>
  <c r="AL71" i="2"/>
  <c r="AM71" i="2" s="1"/>
  <c r="AN71" i="2" s="1"/>
  <c r="F71" i="2"/>
  <c r="AL70" i="2"/>
  <c r="AM70" i="2" s="1"/>
  <c r="AN70" i="2" s="1"/>
  <c r="F70" i="2"/>
  <c r="AL69" i="2"/>
  <c r="AM69" i="2" s="1"/>
  <c r="AN69" i="2" s="1"/>
  <c r="F69" i="2"/>
  <c r="AL68" i="2"/>
  <c r="AM68" i="2" s="1"/>
  <c r="AN68" i="2" s="1"/>
  <c r="F68" i="2"/>
  <c r="AL67" i="2"/>
  <c r="AM67" i="2" s="1"/>
  <c r="AN67" i="2" s="1"/>
  <c r="F67" i="2"/>
  <c r="AL66" i="2"/>
  <c r="AM66" i="2" s="1"/>
  <c r="AN66" i="2" s="1"/>
  <c r="F66" i="2"/>
  <c r="AL65" i="2"/>
  <c r="AM65" i="2" s="1"/>
  <c r="AN65" i="2" s="1"/>
  <c r="F65" i="2"/>
  <c r="AL64" i="2"/>
  <c r="AM64" i="2" s="1"/>
  <c r="AN64" i="2" s="1"/>
  <c r="F64" i="2"/>
  <c r="AL63" i="2"/>
  <c r="AM63" i="2" s="1"/>
  <c r="AN63" i="2" s="1"/>
  <c r="F63" i="2"/>
  <c r="AL62" i="2"/>
  <c r="AM62" i="2" s="1"/>
  <c r="AN62" i="2" s="1"/>
  <c r="F62" i="2"/>
  <c r="AL61" i="2"/>
  <c r="AM61" i="2" s="1"/>
  <c r="AN61" i="2" s="1"/>
  <c r="F61" i="2"/>
  <c r="AL60" i="2"/>
  <c r="AM60" i="2" s="1"/>
  <c r="AN60" i="2" s="1"/>
  <c r="F60" i="2"/>
  <c r="AL59" i="2"/>
  <c r="AM59" i="2" s="1"/>
  <c r="AN59" i="2" s="1"/>
  <c r="F59" i="2"/>
  <c r="AL58" i="2"/>
  <c r="AM58" i="2" s="1"/>
  <c r="AN58" i="2" s="1"/>
  <c r="F58" i="2"/>
  <c r="AM57" i="2"/>
  <c r="AN57" i="2" s="1"/>
  <c r="AL57" i="2"/>
  <c r="F57" i="2"/>
  <c r="AL56" i="2"/>
  <c r="AM56" i="2" s="1"/>
  <c r="AN56" i="2" s="1"/>
  <c r="F56" i="2"/>
  <c r="AL55" i="2"/>
  <c r="AM55" i="2" s="1"/>
  <c r="AN55" i="2" s="1"/>
  <c r="F55" i="2"/>
  <c r="AL54" i="2"/>
  <c r="AM54" i="2" s="1"/>
  <c r="AN54" i="2" s="1"/>
  <c r="F54" i="2"/>
  <c r="AL53" i="2"/>
  <c r="AM53" i="2" s="1"/>
  <c r="AN53" i="2" s="1"/>
  <c r="F53" i="2"/>
  <c r="AL52" i="2"/>
  <c r="AM52" i="2" s="1"/>
  <c r="AN52" i="2" s="1"/>
  <c r="F52" i="2"/>
  <c r="AM51" i="2"/>
  <c r="AN51" i="2" s="1"/>
  <c r="AL51" i="2"/>
  <c r="F51" i="2"/>
  <c r="AL50" i="2"/>
  <c r="AM50" i="2" s="1"/>
  <c r="AN50" i="2" s="1"/>
  <c r="F50" i="2"/>
  <c r="AL49" i="2"/>
  <c r="AM49" i="2" s="1"/>
  <c r="AN49" i="2" s="1"/>
  <c r="F49" i="2"/>
  <c r="AL48" i="2"/>
  <c r="AM48" i="2" s="1"/>
  <c r="AN48" i="2" s="1"/>
  <c r="F48" i="2"/>
  <c r="AL47" i="2"/>
  <c r="AM47" i="2" s="1"/>
  <c r="AN47" i="2" s="1"/>
  <c r="F47" i="2"/>
  <c r="AL46" i="2"/>
  <c r="AM46" i="2" s="1"/>
  <c r="AN46" i="2" s="1"/>
  <c r="F46" i="2"/>
  <c r="AL45" i="2"/>
  <c r="AM45" i="2" s="1"/>
  <c r="AN45" i="2" s="1"/>
  <c r="F45" i="2"/>
  <c r="AL44" i="2"/>
  <c r="AM44" i="2" s="1"/>
  <c r="AN44" i="2" s="1"/>
  <c r="F44" i="2"/>
  <c r="AL43" i="2"/>
  <c r="AM43" i="2" s="1"/>
  <c r="AN43" i="2" s="1"/>
  <c r="F43" i="2"/>
  <c r="AM42" i="2"/>
  <c r="AN42" i="2" s="1"/>
  <c r="AL42" i="2"/>
  <c r="F42" i="2"/>
  <c r="AL41" i="2"/>
  <c r="AM41" i="2" s="1"/>
  <c r="AN41" i="2" s="1"/>
  <c r="F41" i="2"/>
  <c r="AL40" i="2"/>
  <c r="AM40" i="2" s="1"/>
  <c r="AN40" i="2" s="1"/>
  <c r="F40" i="2"/>
  <c r="AL39" i="2"/>
  <c r="AM39" i="2" s="1"/>
  <c r="AN39" i="2" s="1"/>
  <c r="F39" i="2"/>
  <c r="AL38" i="2"/>
  <c r="AM38" i="2" s="1"/>
  <c r="AN38" i="2" s="1"/>
  <c r="F38" i="2"/>
  <c r="AL37" i="2"/>
  <c r="AM37" i="2" s="1"/>
  <c r="AN37" i="2" s="1"/>
  <c r="F37" i="2"/>
  <c r="AL36" i="2"/>
  <c r="AM36" i="2" s="1"/>
  <c r="AN36" i="2" s="1"/>
  <c r="F36" i="2"/>
  <c r="AL35" i="2"/>
  <c r="AM35" i="2" s="1"/>
  <c r="AN35" i="2" s="1"/>
  <c r="F35" i="2"/>
  <c r="AL34" i="2"/>
  <c r="AM34" i="2" s="1"/>
  <c r="AN34" i="2" s="1"/>
  <c r="F34" i="2"/>
  <c r="AL33" i="2"/>
  <c r="AM33" i="2" s="1"/>
  <c r="AN33" i="2" s="1"/>
  <c r="F33" i="2"/>
  <c r="AL32" i="2"/>
  <c r="AM32" i="2" s="1"/>
  <c r="AN32" i="2" s="1"/>
  <c r="F32" i="2"/>
  <c r="AL31" i="2"/>
  <c r="AM31" i="2" s="1"/>
  <c r="AN31" i="2" s="1"/>
  <c r="F31" i="2"/>
  <c r="AL30" i="2"/>
  <c r="AM30" i="2" s="1"/>
  <c r="AN30" i="2" s="1"/>
  <c r="F30" i="2"/>
  <c r="AL29" i="2"/>
  <c r="AM29" i="2" s="1"/>
  <c r="AN29" i="2" s="1"/>
  <c r="F29" i="2"/>
  <c r="AL28" i="2"/>
  <c r="AM28" i="2" s="1"/>
  <c r="AN28" i="2" s="1"/>
  <c r="F28" i="2"/>
  <c r="AL27" i="2"/>
  <c r="AM27" i="2" s="1"/>
  <c r="AN27" i="2" s="1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M21" i="2"/>
  <c r="AN21" i="2" s="1"/>
  <c r="AL21" i="2"/>
  <c r="F21" i="2"/>
  <c r="AL20" i="2"/>
  <c r="AM20" i="2" s="1"/>
  <c r="AN20" i="2" s="1"/>
  <c r="F20" i="2"/>
  <c r="AL19" i="2"/>
  <c r="AM19" i="2" s="1"/>
  <c r="AN19" i="2" s="1"/>
  <c r="F19" i="2"/>
  <c r="AL18" i="2"/>
  <c r="AM18" i="2" s="1"/>
  <c r="AN18" i="2" s="1"/>
  <c r="F18" i="2"/>
  <c r="AL17" i="2"/>
  <c r="AM17" i="2" s="1"/>
  <c r="AN17" i="2" s="1"/>
  <c r="F17" i="2"/>
  <c r="AL16" i="2"/>
  <c r="AM16" i="2" s="1"/>
  <c r="AN16" i="2" s="1"/>
  <c r="F16" i="2"/>
  <c r="AM15" i="2"/>
  <c r="AN15" i="2" s="1"/>
  <c r="AL15" i="2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AL103" i="2" l="1"/>
  <c r="AM103" i="2"/>
  <c r="AN7" i="2"/>
  <c r="AN103" i="2" s="1"/>
</calcChain>
</file>

<file path=xl/sharedStrings.xml><?xml version="1.0" encoding="utf-8"?>
<sst xmlns="http://schemas.openxmlformats.org/spreadsheetml/2006/main" count="235" uniqueCount="120">
  <si>
    <t>Cód.Art.</t>
  </si>
  <si>
    <t>Artículo</t>
  </si>
  <si>
    <t>Cnt.Stk.</t>
  </si>
  <si>
    <t>Frm.Stk.</t>
  </si>
  <si>
    <t>Prc.Med.EUR</t>
  </si>
  <si>
    <t>Total EUR</t>
  </si>
  <si>
    <t>AZUCAR TERRON MORENO 4 GR</t>
  </si>
  <si>
    <t>UNIDAD</t>
  </si>
  <si>
    <t>CHOCOLATE MAQUINA 1 KG</t>
  </si>
  <si>
    <t>PAQUETE</t>
  </si>
  <si>
    <t>HEL NESTLE ALMENDRADO C/VAINILLA 20 UD</t>
  </si>
  <si>
    <t>HEL NESTLE BOMBON NUII CHOCO BCO TEXAS PECAN</t>
  </si>
  <si>
    <t>HEL NESTLE BOMBON NUII PISTACHO</t>
  </si>
  <si>
    <t>HEL NESTLE BOMBON OREO 20 UD</t>
  </si>
  <si>
    <t>HEL NESTLE CARAMELO/MACADAMIA 20 UDS</t>
  </si>
  <si>
    <t>HEL NESTLE CONO EXTREME BLUEBERRY CHEESECAKE</t>
  </si>
  <si>
    <t>HEL NESTLE CONO EXTREME CARAMELO SALADO</t>
  </si>
  <si>
    <t>HEL NESTLE CONO KIT KAT VAIN-CHOC 16 UDS</t>
  </si>
  <si>
    <t>HEL NESTLE CONO LIMON 16 UDS</t>
  </si>
  <si>
    <t>HEL NESTLE CONO NATA 16 UDS</t>
  </si>
  <si>
    <t>HEL NESTLE CONO OREO 20 UDS</t>
  </si>
  <si>
    <t>HEL NESTLE EXTREME 3 CHOCOLATES 16 UDS</t>
  </si>
  <si>
    <t>HEL NESTLE EXTREME SUPER NATA-FRESA 16 UDS</t>
  </si>
  <si>
    <t>HEL NESTLE MAXIBON COOKIES 24 UDS</t>
  </si>
  <si>
    <t>HEL NESTLE MAXIBON NATA 24 UDS</t>
  </si>
  <si>
    <t>HEL NESTLE MAXIBON STRANGER THINGS 24 UDS</t>
  </si>
  <si>
    <t>HEL NESTLE NATA/CHOCOLATE NGO C/ALMENDRAS 20 UD</t>
  </si>
  <si>
    <t>HEL NESTLE PEZEZITOS/FANTASMIKOS 18 UDS</t>
  </si>
  <si>
    <t>HEL NESTLE PIRULO COOL FRESA 24 UDS</t>
  </si>
  <si>
    <t>HEL NESTLE PIRULO COOL LIMON 24 UD</t>
  </si>
  <si>
    <t>HEL NESTLE PIRULO MIKOLAPIZ 20 UD</t>
  </si>
  <si>
    <t>HEL NESTLE PIRULO SANDIA 36 UDS</t>
  </si>
  <si>
    <t>HEL NESTLE PIRULO TROPICAL 20 UDS</t>
  </si>
  <si>
    <t>HEL NESTLE PIRULO TROPICAL MINI 6 UDS</t>
  </si>
  <si>
    <t>HEL NESTLE SANDWICH OREO 24 UDS</t>
  </si>
  <si>
    <t>HEL NESTLE SMARTIES 20 UDS</t>
  </si>
  <si>
    <t>HELADO NESTLE CONO TURRON 16 UDS</t>
  </si>
  <si>
    <t>HELADO NESTLE MAXIBON WAFFLE 24 UDS</t>
  </si>
  <si>
    <t>MILKA CUP 145 ML</t>
  </si>
  <si>
    <t>OREO CUP 145 ML</t>
  </si>
  <si>
    <t>LECHE DESNATADA POLVO</t>
  </si>
  <si>
    <t>KILO</t>
  </si>
  <si>
    <t>APERITIVO APEROL 100 CL</t>
  </si>
  <si>
    <t>BOTELLA</t>
  </si>
  <si>
    <t>APERITIVO CAMPARI 100 CL</t>
  </si>
  <si>
    <t>APERITIVO MARTINI BLANCO DULCE 100 CL</t>
  </si>
  <si>
    <t>APERITIVO MARTINI BLANCO FLOREALE S/ALCOHOL 75 CL</t>
  </si>
  <si>
    <t>APERITIVO MARTINI ROJO 100 CL</t>
  </si>
  <si>
    <t>VINO GEN CHICLANERO 75 CL</t>
  </si>
  <si>
    <t>VINO GEN OLOROSO CHICLANERO 75 CL</t>
  </si>
  <si>
    <t>BRANDY VETERANO 100 CL</t>
  </si>
  <si>
    <t>CAFE GRANO BLEND PROFONDO/ELEGANTE 1 KG</t>
  </si>
  <si>
    <t>BIB TE/INFUSION TE BLANCO C/ARANDANOS</t>
  </si>
  <si>
    <t>LITRO</t>
  </si>
  <si>
    <t>BIB TE/INFUSION TE VERDE C/JENGIBRE</t>
  </si>
  <si>
    <t>CAVA CASTELL D'ORDAL BRUT 75 CL</t>
  </si>
  <si>
    <t>CERVEZA BARRIL MAHOU CLASICA 30 LT</t>
  </si>
  <si>
    <t>CERVEZA SAN MIGUEL S/GLUTEN SR 33 CL</t>
  </si>
  <si>
    <t>CERVEZA SIN ALCOHOL S.M 0'0 33 CL</t>
  </si>
  <si>
    <t>AGUARD. ORUJO DE HIERBAS 70 CL</t>
  </si>
  <si>
    <t>GIN BEEFEATER 70 CL</t>
  </si>
  <si>
    <t>GIN GORDON'S 70 CL</t>
  </si>
  <si>
    <t>GIN LARIOS 12 AÑOS 70 CL</t>
  </si>
  <si>
    <t>GIN PUERTO DE INDIAS FRESA 70 CL</t>
  </si>
  <si>
    <t>BIB COCKTAIL DAIQUIRI LIMON C/ALCOHOL</t>
  </si>
  <si>
    <t>BIB COCKTAIL LOVE ON THE BEACH C/ALCOHOL</t>
  </si>
  <si>
    <t>BIB COCKTAIL MANGOTINI C/ALCOHOL</t>
  </si>
  <si>
    <t>BIB COCKTAIL MOJITO C/ALCOHOL</t>
  </si>
  <si>
    <t>BIB COCKTAIL PIÑA COLADA C/ALCOHOL</t>
  </si>
  <si>
    <t>BIB COCKTAIL TEQUILA SUNRISE C/ALCOHOL</t>
  </si>
  <si>
    <t>BIB COCKTAIL VODKA SUN C/ALCOHOL</t>
  </si>
  <si>
    <t>LICOR AMARETTO DISARONNO 70 CL</t>
  </si>
  <si>
    <t>LICOR BAILEY'S 100 CL</t>
  </si>
  <si>
    <t>LICOR LICOR 43 100 CL</t>
  </si>
  <si>
    <t>LICOR LIMONCELLO VILLA MASSA 70 CL</t>
  </si>
  <si>
    <t>LICOR MALIBU 70 CL</t>
  </si>
  <si>
    <t>LICOR PACHARAN ZOCO 100 CL</t>
  </si>
  <si>
    <t>BIB COCKTAIL BAHIA S/ALCOHOL</t>
  </si>
  <si>
    <t>BIB COCKTAIL SAN BORONDON S/ALCOHOL 10 LT</t>
  </si>
  <si>
    <t>BIB COCKTAIL STELLA S/ALCOHOL</t>
  </si>
  <si>
    <t>COCKTAIL CONCENTRADO FRUIT PUNCH S/ALCOHOL 10 LT</t>
  </si>
  <si>
    <t>JARABE GRANADINA 100 CL</t>
  </si>
  <si>
    <t>JARABE LIME JUICE 100 CL</t>
  </si>
  <si>
    <t>REFRESCO BIB COCA COLA</t>
  </si>
  <si>
    <t>REFRESCO BIB COCA COLA ZERO</t>
  </si>
  <si>
    <t>REFRESCO BIB FANTA LIMON ZERO</t>
  </si>
  <si>
    <t>REFRESCO BIB FANTA NARANJA ZERO</t>
  </si>
  <si>
    <t>REFRESCO BIB SAN FRANCISCO FREE S/ALCOHOL</t>
  </si>
  <si>
    <t>REFRESCO BIB SPRITE ZERO</t>
  </si>
  <si>
    <t>REFRESCO BIB TONICA NORDIC MIST</t>
  </si>
  <si>
    <t>REFRESCO BIB FUZE TEA LIMON S/AZUCAR</t>
  </si>
  <si>
    <t>RON BACARDI 100 CL</t>
  </si>
  <si>
    <t>RON BACARDI SPICED 70 CL</t>
  </si>
  <si>
    <t>RON BARCELO AÑEJO 70 CL</t>
  </si>
  <si>
    <t>RON SANTA TERESA GRAN RVA 75 CL</t>
  </si>
  <si>
    <t>VINO RDO CARPATHIA 75 CL</t>
  </si>
  <si>
    <t>VINO RDO PARAMUS 75 CL</t>
  </si>
  <si>
    <t>BIB SANGRIA ESPECIAL 9º</t>
  </si>
  <si>
    <t>BIB VINO BCO 12º</t>
  </si>
  <si>
    <t>BIB VINO TTO 12º</t>
  </si>
  <si>
    <t>VODKA ABSOLUT AZUL 70 CL</t>
  </si>
  <si>
    <t>WHISKY BALLANTINES 70 CL</t>
  </si>
  <si>
    <t>WHISKY JIM BEAM 70 CL</t>
  </si>
  <si>
    <t>WHISKY JOHNNIE WALKER RED LABEL 70 CL</t>
  </si>
  <si>
    <t>BIB ZUMO CONCENTRADO 100% MANZANA 10 LT</t>
  </si>
  <si>
    <t>BIB ZUMO CONCENTRADO NARANJA 100% 10 LT</t>
  </si>
  <si>
    <t>BIB ZUMO CONCENTRADO PIÑA 100% 10 LT</t>
  </si>
  <si>
    <t>julio</t>
  </si>
  <si>
    <t>BAR  PISCINA  JUNIO -2026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</si>
  <si>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</si>
  <si>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</si>
  <si>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</si>
  <si>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</si>
  <si>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</si>
  <si>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</si>
  <si>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</si>
  <si>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</si>
  <si>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</si>
  <si>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</si>
  <si>
    <t>stocaje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</si>
</sst>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29"/>
      <color theme="1"/>
      <name val="Calibri"/>
      <scheme val="minor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4" fontId="1" fillId="0" borderId="0" xfId="0" applyNumberFormat="1" applyFont="1"/>
    <xf numFmtId="0" fontId="2" fillId="3" borderId="1" xfId="0" applyFont="1" applyFill="1" applyBorder="1"/>
    <xf numFmtId="0" fontId="2" fillId="4" borderId="2" xfId="0" applyFont="1" applyFill="1" applyBorder="1"/>
    <xf numFmtId="0" fontId="2" fillId="4" borderId="1" xfId="0" applyFont="1" applyFill="1" applyBorder="1"/>
    <xf numFmtId="4" fontId="2" fillId="4" borderId="3" xfId="0" applyNumberFormat="1" applyFont="1" applyFill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4" fontId="1" fillId="5" borderId="0" xfId="0" applyNumberFormat="1" applyFont="1" applyFill="1"/>
    <xf numFmtId="0" fontId="5" fillId="0" borderId="0" xfId="0" applyFont="1"/>
    <xf numFmtId="2" fontId="5" fillId="0" borderId="0" xfId="0" applyNumberFormat="1" applyFont="1"/>
    <xf numFmtId="0" fontId="8" fillId="7" borderId="7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2" fontId="8" fillId="7" borderId="7" xfId="0" applyNumberFormat="1" applyFont="1" applyFill="1" applyBorder="1" applyAlignment="1">
      <alignment horizontal="center"/>
    </xf>
    <xf numFmtId="0" fontId="5" fillId="0" borderId="4" xfId="0" applyFont="1" applyBorder="1"/>
    <xf numFmtId="0" fontId="5" fillId="6" borderId="10" xfId="0" applyFont="1" applyFill="1" applyBorder="1"/>
    <xf numFmtId="0" fontId="5" fillId="0" borderId="10" xfId="0" applyFont="1" applyBorder="1"/>
    <xf numFmtId="2" fontId="11" fillId="9" borderId="4" xfId="0" applyNumberFormat="1" applyFont="1" applyFill="1" applyBorder="1"/>
    <xf numFmtId="4" fontId="3" fillId="6" borderId="4" xfId="0" applyNumberFormat="1" applyFont="1" applyFill="1" applyBorder="1" applyAlignment="1">
      <alignment horizontal="right"/>
    </xf>
    <xf numFmtId="2" fontId="11" fillId="10" borderId="0" xfId="0" applyNumberFormat="1" applyFont="1" applyFill="1"/>
    <xf numFmtId="0" fontId="6" fillId="2" borderId="5" xfId="0" applyFont="1" applyFill="1" applyBorder="1" applyAlignment="1">
      <alignment horizontal="center"/>
    </xf>
    <xf numFmtId="0" fontId="7" fillId="0" borderId="6" xfId="0" applyFont="1" applyBorder="1"/>
    <xf numFmtId="0" fontId="7" fillId="0" borderId="7" xfId="0" applyFont="1" applyBorder="1"/>
    <xf numFmtId="0" fontId="6" fillId="2" borderId="0" xfId="0" applyFont="1" applyFill="1" applyAlignment="1">
      <alignment horizontal="center"/>
    </xf>
    <xf numFmtId="0" fontId="0" fillId="0" borderId="0" xfId="0"/>
    <xf numFmtId="0" fontId="9" fillId="7" borderId="8" xfId="0" applyFont="1" applyFill="1" applyBorder="1" applyAlignment="1">
      <alignment horizontal="center"/>
    </xf>
    <xf numFmtId="0" fontId="7" fillId="0" borderId="9" xfId="0" applyFont="1" applyBorder="1"/>
    <xf numFmtId="0" fontId="10" fillId="7" borderId="8" xfId="0" applyFont="1" applyFill="1" applyBorder="1" applyAlignment="1">
      <alignment horizontal="center"/>
    </xf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abSelected="1" topLeftCell="A8" zoomScale="85" zoomScaleNormal="85" workbookViewId="0">
      <pane xSplit="6" topLeftCell="G1" activePane="topRight" state="frozen"/>
      <selection pane="topRight" activeCell="O22" sqref="O22"/>
    </sheetView>
  </sheetViews>
  <sheetFormatPr baseColWidth="10" defaultColWidth="14.44140625" defaultRowHeight="15" customHeight="1" x14ac:dyDescent="0.3"/>
  <cols>
    <col min="1" max="1" width="7.6640625" customWidth="1"/>
    <col min="2" max="2" width="48" customWidth="1"/>
    <col min="3" max="3" width="10" customWidth="1"/>
    <col min="4" max="4" width="10.33203125" customWidth="1"/>
    <col min="5" max="5" width="6.33203125" customWidth="1"/>
    <col min="6" max="6" width="10.5546875" customWidth="1"/>
    <col min="7" max="37" width="5.6640625" customWidth="1"/>
    <col min="38" max="38" width="12.88671875" customWidth="1"/>
    <col min="39" max="39" width="20.6640625" customWidth="1"/>
    <col min="40" max="40" width="14.6640625" customWidth="1"/>
  </cols>
  <sheetData>
    <row r="1" spans="1:40" ht="14.4" x14ac:dyDescent="0.3">
      <c r="E1" s="1"/>
      <c r="F1" s="1"/>
      <c r="AN1" s="11"/>
    </row>
    <row r="2" spans="1:40" ht="14.4" x14ac:dyDescent="0.3">
      <c r="E2" s="1"/>
      <c r="F2" s="1"/>
      <c r="AN2" s="11"/>
    </row>
    <row r="3" spans="1:40" ht="37.200000000000003" x14ac:dyDescent="0.7">
      <c r="E3" s="1"/>
      <c r="F3" s="1"/>
      <c r="T3" s="23" t="s">
        <v>107</v>
      </c>
      <c r="U3" s="24"/>
      <c r="V3" s="24"/>
      <c r="W3" s="24"/>
      <c r="X3" s="25"/>
      <c r="AN3" s="11"/>
    </row>
    <row r="4" spans="1:40" ht="23.25" customHeight="1" x14ac:dyDescent="0.3">
      <c r="A4" s="26" t="s">
        <v>108</v>
      </c>
      <c r="B4" s="27"/>
      <c r="C4" s="27"/>
      <c r="D4" s="27"/>
      <c r="E4" s="27"/>
      <c r="F4" s="27"/>
      <c r="AN4" s="11"/>
    </row>
    <row r="5" spans="1:40" ht="15.75" customHeight="1" x14ac:dyDescent="0.45">
      <c r="A5" s="27"/>
      <c r="B5" s="27"/>
      <c r="C5" s="27"/>
      <c r="D5" s="27"/>
      <c r="E5" s="27"/>
      <c r="F5" s="27"/>
      <c r="G5" s="12" t="s">
        <v>109</v>
      </c>
      <c r="H5" s="12" t="s">
        <v>110</v>
      </c>
      <c r="I5" s="12" t="s">
        <v>111</v>
      </c>
      <c r="J5" s="13" t="s">
        <v>112</v>
      </c>
      <c r="K5" s="13" t="s">
        <v>113</v>
      </c>
      <c r="L5" s="14" t="s">
        <v>114</v>
      </c>
      <c r="M5" s="12" t="s">
        <v>115</v>
      </c>
      <c r="N5" s="12" t="s">
        <v>109</v>
      </c>
      <c r="O5" s="12" t="s">
        <v>110</v>
      </c>
      <c r="P5" s="12" t="s">
        <v>111</v>
      </c>
      <c r="Q5" s="13" t="s">
        <v>112</v>
      </c>
      <c r="R5" s="13" t="s">
        <v>113</v>
      </c>
      <c r="S5" s="14" t="s">
        <v>114</v>
      </c>
      <c r="T5" s="12" t="s">
        <v>115</v>
      </c>
      <c r="U5" s="12" t="s">
        <v>109</v>
      </c>
      <c r="V5" s="12" t="s">
        <v>110</v>
      </c>
      <c r="W5" s="12" t="s">
        <v>111</v>
      </c>
      <c r="X5" s="13" t="s">
        <v>112</v>
      </c>
      <c r="Y5" s="13" t="s">
        <v>113</v>
      </c>
      <c r="Z5" s="14" t="s">
        <v>114</v>
      </c>
      <c r="AA5" s="12" t="s">
        <v>115</v>
      </c>
      <c r="AB5" s="12" t="s">
        <v>109</v>
      </c>
      <c r="AC5" s="12" t="s">
        <v>110</v>
      </c>
      <c r="AD5" s="12" t="s">
        <v>111</v>
      </c>
      <c r="AE5" s="13" t="s">
        <v>112</v>
      </c>
      <c r="AF5" s="13" t="s">
        <v>113</v>
      </c>
      <c r="AG5" s="14" t="s">
        <v>114</v>
      </c>
      <c r="AH5" s="12" t="s">
        <v>115</v>
      </c>
      <c r="AI5" s="12" t="s">
        <v>109</v>
      </c>
      <c r="AJ5" s="12" t="s">
        <v>110</v>
      </c>
      <c r="AK5" s="15" t="s">
        <v>111</v>
      </c>
      <c r="AL5" s="28" t="s">
        <v>116</v>
      </c>
      <c r="AM5" s="30" t="s">
        <v>117</v>
      </c>
      <c r="AN5" s="16"/>
    </row>
    <row r="6" spans="1:40" ht="17.399999999999999" x14ac:dyDescent="0.45">
      <c r="A6" s="2" t="s">
        <v>0</v>
      </c>
      <c r="B6" s="2" t="s">
        <v>1</v>
      </c>
      <c r="C6" s="3" t="s">
        <v>2</v>
      </c>
      <c r="D6" s="4" t="s">
        <v>3</v>
      </c>
      <c r="E6" s="5" t="s">
        <v>4</v>
      </c>
      <c r="F6" s="5" t="s">
        <v>5</v>
      </c>
      <c r="G6" s="12">
        <v>1</v>
      </c>
      <c r="H6" s="12">
        <v>2</v>
      </c>
      <c r="I6" s="12">
        <v>3</v>
      </c>
      <c r="J6" s="13">
        <v>4</v>
      </c>
      <c r="K6" s="13">
        <v>5</v>
      </c>
      <c r="L6" s="12">
        <v>6</v>
      </c>
      <c r="M6" s="12">
        <v>7</v>
      </c>
      <c r="N6" s="12">
        <v>8</v>
      </c>
      <c r="O6" s="12">
        <v>9</v>
      </c>
      <c r="P6" s="12">
        <v>10</v>
      </c>
      <c r="Q6" s="13">
        <v>11</v>
      </c>
      <c r="R6" s="13">
        <v>12</v>
      </c>
      <c r="S6" s="12">
        <v>13</v>
      </c>
      <c r="T6" s="12">
        <v>14</v>
      </c>
      <c r="U6" s="12">
        <v>15</v>
      </c>
      <c r="V6" s="12">
        <v>16</v>
      </c>
      <c r="W6" s="12">
        <v>17</v>
      </c>
      <c r="X6" s="13">
        <v>18</v>
      </c>
      <c r="Y6" s="13">
        <v>19</v>
      </c>
      <c r="Z6" s="12">
        <v>20</v>
      </c>
      <c r="AA6" s="12">
        <v>21</v>
      </c>
      <c r="AB6" s="12">
        <v>22</v>
      </c>
      <c r="AC6" s="12">
        <v>23</v>
      </c>
      <c r="AD6" s="12">
        <v>24</v>
      </c>
      <c r="AE6" s="13">
        <v>25</v>
      </c>
      <c r="AF6" s="13">
        <v>26</v>
      </c>
      <c r="AG6" s="12">
        <v>27</v>
      </c>
      <c r="AH6" s="12">
        <v>28</v>
      </c>
      <c r="AI6" s="12">
        <v>29</v>
      </c>
      <c r="AJ6" s="12">
        <v>30</v>
      </c>
      <c r="AK6" s="15">
        <v>31</v>
      </c>
      <c r="AL6" s="29"/>
      <c r="AM6" s="29"/>
      <c r="AN6" s="16" t="s">
        <v>118</v>
      </c>
    </row>
    <row r="7" spans="1:40" ht="19.5" customHeight="1" x14ac:dyDescent="0.3">
      <c r="A7" s="6">
        <v>14279</v>
      </c>
      <c r="B7" s="7" t="s">
        <v>6</v>
      </c>
      <c r="C7" s="6">
        <v>0</v>
      </c>
      <c r="D7" s="8" t="s">
        <v>7</v>
      </c>
      <c r="E7" s="1">
        <v>1.15E-2</v>
      </c>
      <c r="F7" s="9">
        <f t="shared" ref="F7:F102" si="0">C7*E7</f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8">
        <f t="shared" ref="AL7:AL102" si="1">SUM(G7:AK7)</f>
        <v>0</v>
      </c>
      <c r="AM7" s="19">
        <f t="shared" ref="AM7:AM102" si="2">SUM(C7,AL7)</f>
        <v>0</v>
      </c>
      <c r="AN7" s="20">
        <f t="shared" ref="AN7:AN102" si="3">E7*AM7</f>
        <v>0</v>
      </c>
    </row>
    <row r="8" spans="1:40" ht="19.5" customHeight="1" x14ac:dyDescent="0.3">
      <c r="A8" s="6">
        <v>4223</v>
      </c>
      <c r="B8" s="7" t="s">
        <v>8</v>
      </c>
      <c r="C8" s="7"/>
      <c r="D8" s="8" t="s">
        <v>9</v>
      </c>
      <c r="E8" s="1">
        <v>9.369999</v>
      </c>
      <c r="F8" s="9">
        <f t="shared" si="0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8">
        <f t="shared" si="1"/>
        <v>0</v>
      </c>
      <c r="AM8" s="19">
        <f t="shared" si="2"/>
        <v>0</v>
      </c>
      <c r="AN8" s="20">
        <f t="shared" si="3"/>
        <v>0</v>
      </c>
    </row>
    <row r="9" spans="1:40" ht="19.5" customHeight="1" x14ac:dyDescent="0.3">
      <c r="A9" s="6">
        <v>22779</v>
      </c>
      <c r="B9" s="7" t="s">
        <v>10</v>
      </c>
      <c r="C9" s="6">
        <v>20</v>
      </c>
      <c r="D9" s="8" t="s">
        <v>7</v>
      </c>
      <c r="E9" s="1">
        <v>1.49427</v>
      </c>
      <c r="F9" s="9">
        <f t="shared" si="0"/>
        <v>29.885400000000001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8">
        <f t="shared" si="1"/>
        <v>0</v>
      </c>
      <c r="AM9" s="19">
        <f t="shared" si="2"/>
        <v>20</v>
      </c>
      <c r="AN9" s="20">
        <f t="shared" si="3"/>
        <v>29.885400000000001</v>
      </c>
    </row>
    <row r="10" spans="1:40" ht="19.5" customHeight="1" x14ac:dyDescent="0.3">
      <c r="A10" s="6">
        <v>28127</v>
      </c>
      <c r="B10" s="7" t="s">
        <v>11</v>
      </c>
      <c r="C10" s="6">
        <v>18</v>
      </c>
      <c r="D10" s="8" t="s">
        <v>7</v>
      </c>
      <c r="E10" s="1">
        <v>1.49427</v>
      </c>
      <c r="F10" s="9">
        <f t="shared" si="0"/>
        <v>26.89686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8">
        <f t="shared" si="1"/>
        <v>0</v>
      </c>
      <c r="AM10" s="19">
        <f t="shared" si="2"/>
        <v>18</v>
      </c>
      <c r="AN10" s="20">
        <f t="shared" si="3"/>
        <v>26.89686</v>
      </c>
    </row>
    <row r="11" spans="1:40" ht="19.5" customHeight="1" x14ac:dyDescent="0.3">
      <c r="A11" s="6">
        <v>28924</v>
      </c>
      <c r="B11" s="7" t="s">
        <v>12</v>
      </c>
      <c r="C11" s="6">
        <v>18</v>
      </c>
      <c r="D11" s="8" t="s">
        <v>7</v>
      </c>
      <c r="E11" s="1">
        <v>1.49</v>
      </c>
      <c r="F11" s="9">
        <f t="shared" si="0"/>
        <v>26.82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8">
        <f t="shared" si="1"/>
        <v>0</v>
      </c>
      <c r="AM11" s="19">
        <f t="shared" si="2"/>
        <v>18</v>
      </c>
      <c r="AN11" s="20">
        <f t="shared" si="3"/>
        <v>26.82</v>
      </c>
    </row>
    <row r="12" spans="1:40" ht="19.5" customHeight="1" x14ac:dyDescent="0.3">
      <c r="A12" s="6">
        <v>23096</v>
      </c>
      <c r="B12" s="7" t="s">
        <v>13</v>
      </c>
      <c r="C12" s="6">
        <v>10</v>
      </c>
      <c r="D12" s="8" t="s">
        <v>7</v>
      </c>
      <c r="E12" s="1">
        <v>1.3775500000000001</v>
      </c>
      <c r="F12" s="9">
        <f t="shared" si="0"/>
        <v>13.775500000000001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8">
        <f t="shared" si="1"/>
        <v>0</v>
      </c>
      <c r="AM12" s="19">
        <f t="shared" si="2"/>
        <v>10</v>
      </c>
      <c r="AN12" s="20">
        <f t="shared" si="3"/>
        <v>13.775500000000001</v>
      </c>
    </row>
    <row r="13" spans="1:40" ht="19.5" customHeight="1" x14ac:dyDescent="0.3">
      <c r="A13" s="6">
        <v>24964</v>
      </c>
      <c r="B13" s="7" t="s">
        <v>14</v>
      </c>
      <c r="C13" s="6">
        <v>22</v>
      </c>
      <c r="D13" s="8" t="s">
        <v>7</v>
      </c>
      <c r="E13" s="1">
        <v>1.49427</v>
      </c>
      <c r="F13" s="9">
        <f t="shared" si="0"/>
        <v>32.873939999999997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8">
        <f t="shared" si="1"/>
        <v>0</v>
      </c>
      <c r="AM13" s="19">
        <f t="shared" si="2"/>
        <v>22</v>
      </c>
      <c r="AN13" s="20">
        <f t="shared" si="3"/>
        <v>32.873939999999997</v>
      </c>
    </row>
    <row r="14" spans="1:40" ht="19.5" customHeight="1" x14ac:dyDescent="0.3">
      <c r="A14" s="6">
        <v>28926</v>
      </c>
      <c r="B14" s="7" t="s">
        <v>15</v>
      </c>
      <c r="C14" s="6">
        <v>0</v>
      </c>
      <c r="D14" s="8" t="s">
        <v>7</v>
      </c>
      <c r="E14" s="1">
        <v>1.39</v>
      </c>
      <c r="F14" s="9">
        <f t="shared" si="0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8">
        <f t="shared" si="1"/>
        <v>0</v>
      </c>
      <c r="AM14" s="19">
        <f t="shared" si="2"/>
        <v>0</v>
      </c>
      <c r="AN14" s="20">
        <f t="shared" si="3"/>
        <v>0</v>
      </c>
    </row>
    <row r="15" spans="1:40" ht="19.5" customHeight="1" x14ac:dyDescent="0.3">
      <c r="A15" s="6">
        <v>28126</v>
      </c>
      <c r="B15" s="7" t="s">
        <v>16</v>
      </c>
      <c r="C15" s="6">
        <v>12</v>
      </c>
      <c r="D15" s="8" t="s">
        <v>7</v>
      </c>
      <c r="E15" s="1">
        <v>1.3943000000000001</v>
      </c>
      <c r="F15" s="9">
        <f t="shared" si="0"/>
        <v>16.7316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8">
        <f t="shared" si="1"/>
        <v>0</v>
      </c>
      <c r="AM15" s="19">
        <f t="shared" si="2"/>
        <v>12</v>
      </c>
      <c r="AN15" s="20">
        <f t="shared" si="3"/>
        <v>16.7316</v>
      </c>
    </row>
    <row r="16" spans="1:40" ht="19.5" customHeight="1" x14ac:dyDescent="0.3">
      <c r="A16" s="6">
        <v>21193</v>
      </c>
      <c r="B16" s="7" t="s">
        <v>17</v>
      </c>
      <c r="C16" s="6">
        <v>18</v>
      </c>
      <c r="D16" s="8" t="s">
        <v>7</v>
      </c>
      <c r="E16" s="1">
        <v>1.5232699999999999</v>
      </c>
      <c r="F16" s="9">
        <f t="shared" si="0"/>
        <v>27.418859999999999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8">
        <f t="shared" si="1"/>
        <v>0</v>
      </c>
      <c r="AM16" s="19">
        <f t="shared" si="2"/>
        <v>18</v>
      </c>
      <c r="AN16" s="20">
        <f t="shared" si="3"/>
        <v>27.418859999999999</v>
      </c>
    </row>
    <row r="17" spans="1:40" ht="19.5" customHeight="1" x14ac:dyDescent="0.3">
      <c r="A17" s="6">
        <v>24963</v>
      </c>
      <c r="B17" s="7" t="s">
        <v>18</v>
      </c>
      <c r="C17" s="6">
        <v>32</v>
      </c>
      <c r="D17" s="8" t="s">
        <v>7</v>
      </c>
      <c r="E17" s="1">
        <v>0.37254999999999999</v>
      </c>
      <c r="F17" s="9">
        <f t="shared" si="0"/>
        <v>11.9216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8">
        <f t="shared" si="1"/>
        <v>0</v>
      </c>
      <c r="AM17" s="19">
        <f t="shared" si="2"/>
        <v>32</v>
      </c>
      <c r="AN17" s="20">
        <f t="shared" si="3"/>
        <v>11.9216</v>
      </c>
    </row>
    <row r="18" spans="1:40" ht="19.5" customHeight="1" x14ac:dyDescent="0.3">
      <c r="A18" s="6">
        <v>4788</v>
      </c>
      <c r="B18" s="7" t="s">
        <v>19</v>
      </c>
      <c r="C18" s="6">
        <v>42</v>
      </c>
      <c r="D18" s="8" t="s">
        <v>7</v>
      </c>
      <c r="E18" s="1">
        <v>0.37254999999999999</v>
      </c>
      <c r="F18" s="9">
        <f t="shared" si="0"/>
        <v>15.6471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8">
        <f t="shared" si="1"/>
        <v>0</v>
      </c>
      <c r="AM18" s="19">
        <f t="shared" si="2"/>
        <v>42</v>
      </c>
      <c r="AN18" s="20">
        <f t="shared" si="3"/>
        <v>15.6471</v>
      </c>
    </row>
    <row r="19" spans="1:40" ht="19.5" customHeight="1" x14ac:dyDescent="0.3">
      <c r="A19" s="6">
        <v>26000</v>
      </c>
      <c r="B19" s="7" t="s">
        <v>20</v>
      </c>
      <c r="C19" s="6">
        <v>0</v>
      </c>
      <c r="D19" s="8" t="s">
        <v>7</v>
      </c>
      <c r="E19" s="1">
        <v>1.44554</v>
      </c>
      <c r="F19" s="9">
        <f t="shared" si="0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8">
        <f t="shared" si="1"/>
        <v>0</v>
      </c>
      <c r="AM19" s="19">
        <f t="shared" si="2"/>
        <v>0</v>
      </c>
      <c r="AN19" s="20">
        <f t="shared" si="3"/>
        <v>0</v>
      </c>
    </row>
    <row r="20" spans="1:40" ht="19.5" customHeight="1" x14ac:dyDescent="0.3">
      <c r="A20" s="6">
        <v>4777</v>
      </c>
      <c r="B20" s="7" t="s">
        <v>21</v>
      </c>
      <c r="C20" s="6">
        <v>0</v>
      </c>
      <c r="D20" s="8" t="s">
        <v>7</v>
      </c>
      <c r="E20" s="1">
        <v>1.2308600000000001</v>
      </c>
      <c r="F20" s="9">
        <f t="shared" si="0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8">
        <f t="shared" si="1"/>
        <v>0</v>
      </c>
      <c r="AM20" s="19">
        <f t="shared" si="2"/>
        <v>0</v>
      </c>
      <c r="AN20" s="20">
        <f t="shared" si="3"/>
        <v>0</v>
      </c>
    </row>
    <row r="21" spans="1:40" ht="19.5" customHeight="1" x14ac:dyDescent="0.3">
      <c r="A21" s="6">
        <v>4778</v>
      </c>
      <c r="B21" s="7" t="s">
        <v>22</v>
      </c>
      <c r="C21" s="6">
        <v>0</v>
      </c>
      <c r="D21" s="8" t="s">
        <v>7</v>
      </c>
      <c r="E21" s="1">
        <v>1.2308600000000001</v>
      </c>
      <c r="F21" s="9">
        <f t="shared" si="0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8">
        <f t="shared" si="1"/>
        <v>0</v>
      </c>
      <c r="AM21" s="19">
        <f t="shared" si="2"/>
        <v>0</v>
      </c>
      <c r="AN21" s="20">
        <f t="shared" si="3"/>
        <v>0</v>
      </c>
    </row>
    <row r="22" spans="1:40" ht="19.5" customHeight="1" x14ac:dyDescent="0.3">
      <c r="A22" s="6">
        <v>7585</v>
      </c>
      <c r="B22" s="7" t="s">
        <v>23</v>
      </c>
      <c r="C22" s="6">
        <v>22</v>
      </c>
      <c r="D22" s="8" t="s">
        <v>7</v>
      </c>
      <c r="E22" s="1">
        <v>1.3768</v>
      </c>
      <c r="F22" s="9">
        <f t="shared" si="0"/>
        <v>30.2896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8">
        <f t="shared" si="1"/>
        <v>0</v>
      </c>
      <c r="AM22" s="19">
        <f t="shared" si="2"/>
        <v>22</v>
      </c>
      <c r="AN22" s="20">
        <f t="shared" si="3"/>
        <v>30.2896</v>
      </c>
    </row>
    <row r="23" spans="1:40" ht="19.5" customHeight="1" x14ac:dyDescent="0.3">
      <c r="A23" s="6">
        <v>4779</v>
      </c>
      <c r="B23" s="7" t="s">
        <v>24</v>
      </c>
      <c r="C23" s="6">
        <v>20</v>
      </c>
      <c r="D23" s="8" t="s">
        <v>7</v>
      </c>
      <c r="E23" s="1">
        <v>1.3769499999999999</v>
      </c>
      <c r="F23" s="9">
        <f t="shared" si="0"/>
        <v>27.538999999999998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8">
        <f t="shared" si="1"/>
        <v>0</v>
      </c>
      <c r="AM23" s="19">
        <f t="shared" si="2"/>
        <v>20</v>
      </c>
      <c r="AN23" s="20">
        <f t="shared" si="3"/>
        <v>27.538999999999998</v>
      </c>
    </row>
    <row r="24" spans="1:40" ht="19.5" customHeight="1" x14ac:dyDescent="0.3">
      <c r="A24" s="6">
        <v>28925</v>
      </c>
      <c r="B24" s="7" t="s">
        <v>25</v>
      </c>
      <c r="C24" s="7"/>
      <c r="D24" s="8" t="s">
        <v>7</v>
      </c>
      <c r="E24" s="1">
        <v>1.38</v>
      </c>
      <c r="F24" s="9">
        <f t="shared" si="0"/>
        <v>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8">
        <f t="shared" si="1"/>
        <v>0</v>
      </c>
      <c r="AM24" s="19">
        <f t="shared" si="2"/>
        <v>0</v>
      </c>
      <c r="AN24" s="20">
        <f t="shared" si="3"/>
        <v>0</v>
      </c>
    </row>
    <row r="25" spans="1:40" ht="19.5" customHeight="1" x14ac:dyDescent="0.3">
      <c r="A25" s="6">
        <v>22783</v>
      </c>
      <c r="B25" s="7" t="s">
        <v>26</v>
      </c>
      <c r="C25" s="7"/>
      <c r="D25" s="8" t="s">
        <v>7</v>
      </c>
      <c r="E25" s="1">
        <v>1.49427</v>
      </c>
      <c r="F25" s="9">
        <f t="shared" si="0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8">
        <f t="shared" si="1"/>
        <v>0</v>
      </c>
      <c r="AM25" s="19">
        <f t="shared" si="2"/>
        <v>0</v>
      </c>
      <c r="AN25" s="20">
        <f t="shared" si="3"/>
        <v>0</v>
      </c>
    </row>
    <row r="26" spans="1:40" ht="19.5" customHeight="1" x14ac:dyDescent="0.3">
      <c r="A26" s="6">
        <v>4790</v>
      </c>
      <c r="B26" s="7" t="s">
        <v>27</v>
      </c>
      <c r="C26" s="6">
        <v>12</v>
      </c>
      <c r="D26" s="8" t="s">
        <v>7</v>
      </c>
      <c r="E26" s="1">
        <v>1.0372399999999999</v>
      </c>
      <c r="F26" s="9">
        <f t="shared" si="0"/>
        <v>12.44688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8">
        <f t="shared" si="1"/>
        <v>0</v>
      </c>
      <c r="AM26" s="19">
        <f t="shared" si="2"/>
        <v>12</v>
      </c>
      <c r="AN26" s="20">
        <f t="shared" si="3"/>
        <v>12.44688</v>
      </c>
    </row>
    <row r="27" spans="1:40" ht="19.5" customHeight="1" x14ac:dyDescent="0.3">
      <c r="A27" s="6">
        <v>7588</v>
      </c>
      <c r="B27" s="7" t="s">
        <v>28</v>
      </c>
      <c r="C27" s="6">
        <v>26</v>
      </c>
      <c r="D27" s="8" t="s">
        <v>7</v>
      </c>
      <c r="E27" s="1">
        <v>0.70182999999999995</v>
      </c>
      <c r="F27" s="9">
        <f t="shared" si="0"/>
        <v>18.247579999999999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8">
        <f t="shared" si="1"/>
        <v>0</v>
      </c>
      <c r="AM27" s="19">
        <f t="shared" si="2"/>
        <v>26</v>
      </c>
      <c r="AN27" s="20">
        <f t="shared" si="3"/>
        <v>18.247579999999999</v>
      </c>
    </row>
    <row r="28" spans="1:40" ht="19.5" customHeight="1" x14ac:dyDescent="0.3">
      <c r="A28" s="6">
        <v>23983</v>
      </c>
      <c r="B28" s="7" t="s">
        <v>29</v>
      </c>
      <c r="C28" s="6">
        <v>26</v>
      </c>
      <c r="D28" s="8" t="s">
        <v>7</v>
      </c>
      <c r="E28" s="1">
        <v>0.70182999999999995</v>
      </c>
      <c r="F28" s="9">
        <f t="shared" si="0"/>
        <v>18.247579999999999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8">
        <f t="shared" si="1"/>
        <v>0</v>
      </c>
      <c r="AM28" s="19">
        <f t="shared" si="2"/>
        <v>26</v>
      </c>
      <c r="AN28" s="20">
        <f t="shared" si="3"/>
        <v>18.247579999999999</v>
      </c>
    </row>
    <row r="29" spans="1:40" ht="19.5" customHeight="1" x14ac:dyDescent="0.3">
      <c r="A29" s="6">
        <v>23974</v>
      </c>
      <c r="B29" s="7" t="s">
        <v>30</v>
      </c>
      <c r="C29" s="6">
        <v>16</v>
      </c>
      <c r="D29" s="8" t="s">
        <v>7</v>
      </c>
      <c r="E29" s="1">
        <v>0.81189999999999996</v>
      </c>
      <c r="F29" s="9">
        <f t="shared" si="0"/>
        <v>12.990399999999999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8">
        <f t="shared" si="1"/>
        <v>0</v>
      </c>
      <c r="AM29" s="19">
        <f t="shared" si="2"/>
        <v>16</v>
      </c>
      <c r="AN29" s="20">
        <f t="shared" si="3"/>
        <v>12.990399999999999</v>
      </c>
    </row>
    <row r="30" spans="1:40" ht="19.5" customHeight="1" x14ac:dyDescent="0.3">
      <c r="A30" s="6">
        <v>17150</v>
      </c>
      <c r="B30" s="7" t="s">
        <v>31</v>
      </c>
      <c r="C30" s="6">
        <v>20</v>
      </c>
      <c r="D30" s="8" t="s">
        <v>7</v>
      </c>
      <c r="E30" s="1">
        <v>0.70630999999999999</v>
      </c>
      <c r="F30" s="9">
        <f t="shared" si="0"/>
        <v>14.126200000000001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8">
        <f t="shared" si="1"/>
        <v>0</v>
      </c>
      <c r="AM30" s="19">
        <f t="shared" si="2"/>
        <v>20</v>
      </c>
      <c r="AN30" s="20">
        <f t="shared" si="3"/>
        <v>14.126200000000001</v>
      </c>
    </row>
    <row r="31" spans="1:40" ht="19.5" customHeight="1" x14ac:dyDescent="0.3">
      <c r="A31" s="6">
        <v>11459</v>
      </c>
      <c r="B31" s="7" t="s">
        <v>32</v>
      </c>
      <c r="C31" s="7"/>
      <c r="D31" s="8" t="s">
        <v>7</v>
      </c>
      <c r="E31" s="1">
        <v>1.0166500000000001</v>
      </c>
      <c r="F31" s="9">
        <f t="shared" si="0"/>
        <v>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8">
        <f t="shared" si="1"/>
        <v>0</v>
      </c>
      <c r="AM31" s="19">
        <f t="shared" si="2"/>
        <v>0</v>
      </c>
      <c r="AN31" s="20">
        <f t="shared" si="3"/>
        <v>0</v>
      </c>
    </row>
    <row r="32" spans="1:40" ht="19.5" customHeight="1" x14ac:dyDescent="0.3">
      <c r="A32" s="6">
        <v>25999</v>
      </c>
      <c r="B32" s="7" t="s">
        <v>33</v>
      </c>
      <c r="C32" s="7"/>
      <c r="D32" s="8" t="s">
        <v>7</v>
      </c>
      <c r="E32" s="1">
        <v>0.36399999999999999</v>
      </c>
      <c r="F32" s="9">
        <f t="shared" si="0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8">
        <f t="shared" si="1"/>
        <v>0</v>
      </c>
      <c r="AM32" s="19">
        <f t="shared" si="2"/>
        <v>0</v>
      </c>
      <c r="AN32" s="20">
        <f t="shared" si="3"/>
        <v>0</v>
      </c>
    </row>
    <row r="33" spans="1:40" ht="19.5" customHeight="1" x14ac:dyDescent="0.3">
      <c r="A33" s="6">
        <v>19180</v>
      </c>
      <c r="B33" s="7" t="s">
        <v>34</v>
      </c>
      <c r="C33" s="6">
        <v>10</v>
      </c>
      <c r="D33" s="8" t="s">
        <v>7</v>
      </c>
      <c r="E33" s="1">
        <v>1.4451000000000001</v>
      </c>
      <c r="F33" s="9">
        <f t="shared" si="0"/>
        <v>14.451000000000001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8">
        <f t="shared" si="1"/>
        <v>0</v>
      </c>
      <c r="AM33" s="19">
        <f t="shared" si="2"/>
        <v>10</v>
      </c>
      <c r="AN33" s="20">
        <f t="shared" si="3"/>
        <v>14.451000000000001</v>
      </c>
    </row>
    <row r="34" spans="1:40" ht="19.5" customHeight="1" x14ac:dyDescent="0.3">
      <c r="A34" s="6">
        <v>9856</v>
      </c>
      <c r="B34" s="7" t="s">
        <v>35</v>
      </c>
      <c r="C34" s="6">
        <v>20</v>
      </c>
      <c r="D34" s="8" t="s">
        <v>7</v>
      </c>
      <c r="E34" s="1">
        <v>0.81189999999999996</v>
      </c>
      <c r="F34" s="9">
        <f t="shared" si="0"/>
        <v>16.238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8">
        <f t="shared" si="1"/>
        <v>0</v>
      </c>
      <c r="AM34" s="19">
        <f t="shared" si="2"/>
        <v>20</v>
      </c>
      <c r="AN34" s="20">
        <f t="shared" si="3"/>
        <v>16.238</v>
      </c>
    </row>
    <row r="35" spans="1:40" ht="19.5" customHeight="1" x14ac:dyDescent="0.3">
      <c r="A35" s="6">
        <v>25425</v>
      </c>
      <c r="B35" s="7" t="s">
        <v>36</v>
      </c>
      <c r="C35" s="6">
        <v>0</v>
      </c>
      <c r="D35" s="8" t="s">
        <v>7</v>
      </c>
      <c r="E35" s="1">
        <v>0.36204999999999998</v>
      </c>
      <c r="F35" s="9">
        <f t="shared" si="0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8">
        <f t="shared" si="1"/>
        <v>0</v>
      </c>
      <c r="AM35" s="19">
        <f t="shared" si="2"/>
        <v>0</v>
      </c>
      <c r="AN35" s="20">
        <f t="shared" si="3"/>
        <v>0</v>
      </c>
    </row>
    <row r="36" spans="1:40" ht="19.5" customHeight="1" x14ac:dyDescent="0.3">
      <c r="A36" s="6">
        <v>9142</v>
      </c>
      <c r="B36" s="7" t="s">
        <v>37</v>
      </c>
      <c r="C36" s="6">
        <v>9</v>
      </c>
      <c r="D36" s="8" t="s">
        <v>7</v>
      </c>
      <c r="E36" s="1">
        <v>1.3769499999999999</v>
      </c>
      <c r="F36" s="9">
        <f t="shared" si="0"/>
        <v>12.39255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8">
        <f t="shared" si="1"/>
        <v>0</v>
      </c>
      <c r="AM36" s="19">
        <f t="shared" si="2"/>
        <v>9</v>
      </c>
      <c r="AN36" s="20">
        <f t="shared" si="3"/>
        <v>12.39255</v>
      </c>
    </row>
    <row r="37" spans="1:40" ht="19.5" customHeight="1" x14ac:dyDescent="0.3">
      <c r="A37" s="6">
        <v>28125</v>
      </c>
      <c r="B37" s="7" t="s">
        <v>38</v>
      </c>
      <c r="C37" s="6">
        <v>10</v>
      </c>
      <c r="D37" s="8" t="s">
        <v>7</v>
      </c>
      <c r="E37" s="1">
        <v>1.7493000000000001</v>
      </c>
      <c r="F37" s="9">
        <f t="shared" si="0"/>
        <v>17.493000000000002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8">
        <f t="shared" si="1"/>
        <v>0</v>
      </c>
      <c r="AM37" s="19">
        <f t="shared" si="2"/>
        <v>10</v>
      </c>
      <c r="AN37" s="20">
        <f t="shared" si="3"/>
        <v>17.493000000000002</v>
      </c>
    </row>
    <row r="38" spans="1:40" ht="19.5" customHeight="1" x14ac:dyDescent="0.3">
      <c r="A38" s="6">
        <v>28124</v>
      </c>
      <c r="B38" s="7" t="s">
        <v>39</v>
      </c>
      <c r="C38" s="6">
        <v>12</v>
      </c>
      <c r="D38" s="8" t="s">
        <v>7</v>
      </c>
      <c r="E38" s="1">
        <v>1.7493000000000001</v>
      </c>
      <c r="F38" s="9">
        <f t="shared" si="0"/>
        <v>20.991600000000002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8">
        <f t="shared" si="1"/>
        <v>0</v>
      </c>
      <c r="AM38" s="19">
        <f t="shared" si="2"/>
        <v>12</v>
      </c>
      <c r="AN38" s="20">
        <f t="shared" si="3"/>
        <v>20.991600000000002</v>
      </c>
    </row>
    <row r="39" spans="1:40" ht="19.5" customHeight="1" x14ac:dyDescent="0.3">
      <c r="A39" s="6">
        <v>11952</v>
      </c>
      <c r="B39" s="7" t="s">
        <v>40</v>
      </c>
      <c r="C39" s="6">
        <v>5</v>
      </c>
      <c r="D39" s="8" t="s">
        <v>41</v>
      </c>
      <c r="E39" s="1">
        <v>10.87</v>
      </c>
      <c r="F39" s="9">
        <f t="shared" si="0"/>
        <v>54.349999999999994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8">
        <f t="shared" si="1"/>
        <v>0</v>
      </c>
      <c r="AM39" s="19">
        <f t="shared" si="2"/>
        <v>5</v>
      </c>
      <c r="AN39" s="20">
        <f t="shared" si="3"/>
        <v>54.349999999999994</v>
      </c>
    </row>
    <row r="40" spans="1:40" ht="19.5" customHeight="1" x14ac:dyDescent="0.3">
      <c r="A40" s="6">
        <v>13385</v>
      </c>
      <c r="B40" s="7" t="s">
        <v>42</v>
      </c>
      <c r="C40" s="6">
        <v>12</v>
      </c>
      <c r="D40" s="8" t="s">
        <v>43</v>
      </c>
      <c r="E40" s="1">
        <v>11.03158</v>
      </c>
      <c r="F40" s="9">
        <f t="shared" si="0"/>
        <v>132.37896000000001</v>
      </c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8">
        <f t="shared" si="1"/>
        <v>0</v>
      </c>
      <c r="AM40" s="19">
        <f t="shared" si="2"/>
        <v>12</v>
      </c>
      <c r="AN40" s="20">
        <f t="shared" si="3"/>
        <v>132.37896000000001</v>
      </c>
    </row>
    <row r="41" spans="1:40" ht="19.5" customHeight="1" x14ac:dyDescent="0.3">
      <c r="A41" s="6">
        <v>1460</v>
      </c>
      <c r="B41" s="7" t="s">
        <v>44</v>
      </c>
      <c r="C41" s="6">
        <v>10</v>
      </c>
      <c r="D41" s="8" t="s">
        <v>43</v>
      </c>
      <c r="E41" s="1">
        <v>13.999933</v>
      </c>
      <c r="F41" s="9">
        <f t="shared" si="0"/>
        <v>139.99933000000001</v>
      </c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8">
        <f t="shared" si="1"/>
        <v>0</v>
      </c>
      <c r="AM41" s="19">
        <f t="shared" si="2"/>
        <v>10</v>
      </c>
      <c r="AN41" s="20">
        <f t="shared" si="3"/>
        <v>139.99933000000001</v>
      </c>
    </row>
    <row r="42" spans="1:40" ht="19.5" customHeight="1" x14ac:dyDescent="0.3">
      <c r="A42" s="6">
        <v>93</v>
      </c>
      <c r="B42" s="7" t="s">
        <v>45</v>
      </c>
      <c r="C42" s="6">
        <v>7</v>
      </c>
      <c r="D42" s="8" t="s">
        <v>43</v>
      </c>
      <c r="E42" s="1">
        <v>8.0440360000000002</v>
      </c>
      <c r="F42" s="9">
        <f t="shared" si="0"/>
        <v>56.308252000000003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8">
        <f t="shared" si="1"/>
        <v>0</v>
      </c>
      <c r="AM42" s="19">
        <f t="shared" si="2"/>
        <v>7</v>
      </c>
      <c r="AN42" s="20">
        <f t="shared" si="3"/>
        <v>56.308252000000003</v>
      </c>
    </row>
    <row r="43" spans="1:40" ht="19.5" customHeight="1" x14ac:dyDescent="0.3">
      <c r="A43" s="6">
        <v>28571</v>
      </c>
      <c r="B43" s="7" t="s">
        <v>46</v>
      </c>
      <c r="C43" s="6">
        <v>1</v>
      </c>
      <c r="D43" s="8" t="s">
        <v>43</v>
      </c>
      <c r="E43" s="1">
        <v>8.8800000000000008</v>
      </c>
      <c r="F43" s="9">
        <f t="shared" si="0"/>
        <v>8.8800000000000008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8">
        <f t="shared" si="1"/>
        <v>0</v>
      </c>
      <c r="AM43" s="19">
        <f t="shared" si="2"/>
        <v>1</v>
      </c>
      <c r="AN43" s="20">
        <f t="shared" si="3"/>
        <v>8.8800000000000008</v>
      </c>
    </row>
    <row r="44" spans="1:40" ht="19.5" customHeight="1" x14ac:dyDescent="0.3">
      <c r="A44" s="6">
        <v>99</v>
      </c>
      <c r="B44" s="7" t="s">
        <v>47</v>
      </c>
      <c r="C44" s="6">
        <v>8</v>
      </c>
      <c r="D44" s="8" t="s">
        <v>43</v>
      </c>
      <c r="E44" s="1">
        <v>8.052308</v>
      </c>
      <c r="F44" s="9">
        <f t="shared" si="0"/>
        <v>64.418464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8">
        <f t="shared" si="1"/>
        <v>0</v>
      </c>
      <c r="AM44" s="19">
        <f t="shared" si="2"/>
        <v>8</v>
      </c>
      <c r="AN44" s="20">
        <f t="shared" si="3"/>
        <v>64.418464</v>
      </c>
    </row>
    <row r="45" spans="1:40" ht="19.5" customHeight="1" x14ac:dyDescent="0.3">
      <c r="A45" s="6">
        <v>2133</v>
      </c>
      <c r="B45" s="7" t="s">
        <v>48</v>
      </c>
      <c r="C45" s="6">
        <v>6</v>
      </c>
      <c r="D45" s="8" t="s">
        <v>43</v>
      </c>
      <c r="E45" s="1">
        <v>4.897748</v>
      </c>
      <c r="F45" s="9">
        <f t="shared" si="0"/>
        <v>29.386488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8">
        <f t="shared" si="1"/>
        <v>0</v>
      </c>
      <c r="AM45" s="19">
        <f t="shared" si="2"/>
        <v>6</v>
      </c>
      <c r="AN45" s="20">
        <f t="shared" si="3"/>
        <v>29.386488</v>
      </c>
    </row>
    <row r="46" spans="1:40" ht="19.5" customHeight="1" x14ac:dyDescent="0.3">
      <c r="A46" s="6">
        <v>2135</v>
      </c>
      <c r="B46" s="7" t="s">
        <v>49</v>
      </c>
      <c r="C46" s="6">
        <v>0</v>
      </c>
      <c r="D46" s="8" t="s">
        <v>43</v>
      </c>
      <c r="E46" s="1">
        <v>5.2498379999999996</v>
      </c>
      <c r="F46" s="9">
        <f t="shared" si="0"/>
        <v>0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8">
        <f t="shared" si="1"/>
        <v>0</v>
      </c>
      <c r="AM46" s="19">
        <f t="shared" si="2"/>
        <v>0</v>
      </c>
      <c r="AN46" s="20">
        <f t="shared" si="3"/>
        <v>0</v>
      </c>
    </row>
    <row r="47" spans="1:40" ht="19.5" customHeight="1" x14ac:dyDescent="0.3">
      <c r="A47" s="6">
        <v>216</v>
      </c>
      <c r="B47" s="7" t="s">
        <v>50</v>
      </c>
      <c r="C47" s="7"/>
      <c r="D47" s="8" t="s">
        <v>43</v>
      </c>
      <c r="E47" s="1">
        <v>8.1262209999999993</v>
      </c>
      <c r="F47" s="9">
        <f t="shared" si="0"/>
        <v>0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8">
        <f t="shared" si="1"/>
        <v>0</v>
      </c>
      <c r="AM47" s="19">
        <f t="shared" si="2"/>
        <v>0</v>
      </c>
      <c r="AN47" s="20">
        <f t="shared" si="3"/>
        <v>0</v>
      </c>
    </row>
    <row r="48" spans="1:40" ht="19.5" customHeight="1" x14ac:dyDescent="0.3">
      <c r="A48" s="6">
        <v>503</v>
      </c>
      <c r="B48" s="7" t="s">
        <v>51</v>
      </c>
      <c r="C48" s="6">
        <v>7</v>
      </c>
      <c r="D48" s="8" t="s">
        <v>41</v>
      </c>
      <c r="E48" s="1">
        <v>12.67</v>
      </c>
      <c r="F48" s="9">
        <f t="shared" si="0"/>
        <v>88.69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8">
        <f t="shared" si="1"/>
        <v>0</v>
      </c>
      <c r="AM48" s="19">
        <f t="shared" si="2"/>
        <v>7</v>
      </c>
      <c r="AN48" s="20">
        <f t="shared" si="3"/>
        <v>88.69</v>
      </c>
    </row>
    <row r="49" spans="1:40" ht="19.5" customHeight="1" x14ac:dyDescent="0.3">
      <c r="A49" s="6">
        <v>28401</v>
      </c>
      <c r="B49" s="7" t="s">
        <v>52</v>
      </c>
      <c r="C49" s="6">
        <v>5</v>
      </c>
      <c r="D49" s="8" t="s">
        <v>53</v>
      </c>
      <c r="E49" s="1">
        <v>3.5</v>
      </c>
      <c r="F49" s="9">
        <f t="shared" si="0"/>
        <v>17.5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8">
        <f t="shared" si="1"/>
        <v>0</v>
      </c>
      <c r="AM49" s="19">
        <f t="shared" si="2"/>
        <v>5</v>
      </c>
      <c r="AN49" s="20">
        <f t="shared" si="3"/>
        <v>17.5</v>
      </c>
    </row>
    <row r="50" spans="1:40" ht="19.5" customHeight="1" x14ac:dyDescent="0.3">
      <c r="A50" s="6">
        <v>28403</v>
      </c>
      <c r="B50" s="7" t="s">
        <v>54</v>
      </c>
      <c r="C50" s="6">
        <v>5</v>
      </c>
      <c r="D50" s="8" t="s">
        <v>53</v>
      </c>
      <c r="E50" s="1">
        <v>3.5</v>
      </c>
      <c r="F50" s="9">
        <f t="shared" si="0"/>
        <v>17.5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8">
        <f t="shared" si="1"/>
        <v>0</v>
      </c>
      <c r="AM50" s="19">
        <f t="shared" si="2"/>
        <v>5</v>
      </c>
      <c r="AN50" s="20">
        <f t="shared" si="3"/>
        <v>17.5</v>
      </c>
    </row>
    <row r="51" spans="1:40" ht="19.5" customHeight="1" x14ac:dyDescent="0.3">
      <c r="A51" s="6">
        <v>8983</v>
      </c>
      <c r="B51" s="7" t="s">
        <v>55</v>
      </c>
      <c r="C51" s="6">
        <v>29</v>
      </c>
      <c r="D51" s="8" t="s">
        <v>43</v>
      </c>
      <c r="E51" s="1">
        <v>1.8999950000000001</v>
      </c>
      <c r="F51" s="9">
        <f t="shared" si="0"/>
        <v>55.099855000000005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>
        <f t="shared" si="1"/>
        <v>0</v>
      </c>
      <c r="AM51" s="19">
        <f t="shared" si="2"/>
        <v>29</v>
      </c>
      <c r="AN51" s="20">
        <f t="shared" si="3"/>
        <v>55.099855000000005</v>
      </c>
    </row>
    <row r="52" spans="1:40" ht="19.5" customHeight="1" x14ac:dyDescent="0.3">
      <c r="A52" s="6">
        <v>8992</v>
      </c>
      <c r="B52" s="7" t="s">
        <v>56</v>
      </c>
      <c r="C52" s="6">
        <v>210</v>
      </c>
      <c r="D52" s="8" t="s">
        <v>53</v>
      </c>
      <c r="E52" s="1">
        <v>0.50231700000000001</v>
      </c>
      <c r="F52" s="9">
        <f t="shared" si="0"/>
        <v>105.48657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>
        <f t="shared" si="1"/>
        <v>0</v>
      </c>
      <c r="AM52" s="19">
        <f t="shared" si="2"/>
        <v>210</v>
      </c>
      <c r="AN52" s="20">
        <f t="shared" si="3"/>
        <v>105.48657</v>
      </c>
    </row>
    <row r="53" spans="1:40" ht="19.5" customHeight="1" x14ac:dyDescent="0.3">
      <c r="A53" s="6">
        <v>17627</v>
      </c>
      <c r="B53" s="7" t="s">
        <v>57</v>
      </c>
      <c r="C53" s="6">
        <v>11</v>
      </c>
      <c r="D53" s="8" t="s">
        <v>43</v>
      </c>
      <c r="E53" s="1">
        <v>0.75498399999999999</v>
      </c>
      <c r="F53" s="9">
        <f t="shared" si="0"/>
        <v>8.304824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>
        <f t="shared" si="1"/>
        <v>0</v>
      </c>
      <c r="AM53" s="19">
        <f t="shared" si="2"/>
        <v>11</v>
      </c>
      <c r="AN53" s="20">
        <f t="shared" si="3"/>
        <v>8.304824</v>
      </c>
    </row>
    <row r="54" spans="1:40" ht="19.5" customHeight="1" x14ac:dyDescent="0.3">
      <c r="A54" s="6">
        <v>5796</v>
      </c>
      <c r="B54" s="7" t="s">
        <v>58</v>
      </c>
      <c r="C54" s="6">
        <v>48</v>
      </c>
      <c r="D54" s="8" t="s">
        <v>43</v>
      </c>
      <c r="E54" s="1">
        <v>0.32708599999999999</v>
      </c>
      <c r="F54" s="9">
        <f t="shared" si="0"/>
        <v>15.700127999999999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>
        <f t="shared" si="1"/>
        <v>0</v>
      </c>
      <c r="AM54" s="19">
        <f t="shared" si="2"/>
        <v>48</v>
      </c>
      <c r="AN54" s="20">
        <f t="shared" si="3"/>
        <v>15.700127999999999</v>
      </c>
    </row>
    <row r="55" spans="1:40" ht="19.5" customHeight="1" x14ac:dyDescent="0.3">
      <c r="A55" s="6">
        <v>7273</v>
      </c>
      <c r="B55" s="7" t="s">
        <v>59</v>
      </c>
      <c r="C55" s="6">
        <v>0</v>
      </c>
      <c r="D55" s="8" t="s">
        <v>43</v>
      </c>
      <c r="E55" s="1">
        <v>7.9899750000000003</v>
      </c>
      <c r="F55" s="9">
        <f t="shared" si="0"/>
        <v>0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8">
        <f t="shared" si="1"/>
        <v>0</v>
      </c>
      <c r="AM55" s="19">
        <f t="shared" si="2"/>
        <v>0</v>
      </c>
      <c r="AN55" s="20">
        <f t="shared" si="3"/>
        <v>0</v>
      </c>
    </row>
    <row r="56" spans="1:40" ht="19.5" customHeight="1" x14ac:dyDescent="0.3">
      <c r="A56" s="6">
        <v>135</v>
      </c>
      <c r="B56" s="7" t="s">
        <v>60</v>
      </c>
      <c r="C56" s="6">
        <v>7</v>
      </c>
      <c r="D56" s="8" t="s">
        <v>43</v>
      </c>
      <c r="E56" s="1">
        <v>11.873156</v>
      </c>
      <c r="F56" s="9">
        <f t="shared" si="0"/>
        <v>83.112092000000004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8">
        <f t="shared" si="1"/>
        <v>0</v>
      </c>
      <c r="AM56" s="19">
        <f t="shared" si="2"/>
        <v>7</v>
      </c>
      <c r="AN56" s="20">
        <f t="shared" si="3"/>
        <v>83.112092000000004</v>
      </c>
    </row>
    <row r="57" spans="1:40" ht="19.5" customHeight="1" x14ac:dyDescent="0.3">
      <c r="A57" s="6">
        <v>1074</v>
      </c>
      <c r="B57" s="7" t="s">
        <v>61</v>
      </c>
      <c r="C57" s="6">
        <v>11</v>
      </c>
      <c r="D57" s="8" t="s">
        <v>43</v>
      </c>
      <c r="E57" s="1">
        <v>9.5651150000000005</v>
      </c>
      <c r="F57" s="9">
        <f t="shared" si="0"/>
        <v>105.21626500000001</v>
      </c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8">
        <f t="shared" si="1"/>
        <v>0</v>
      </c>
      <c r="AM57" s="19">
        <f t="shared" si="2"/>
        <v>11</v>
      </c>
      <c r="AN57" s="20">
        <f t="shared" si="3"/>
        <v>105.21626500000001</v>
      </c>
    </row>
    <row r="58" spans="1:40" ht="19.5" customHeight="1" x14ac:dyDescent="0.3">
      <c r="A58" s="6">
        <v>17517</v>
      </c>
      <c r="B58" s="7" t="s">
        <v>62</v>
      </c>
      <c r="C58" s="6">
        <v>4</v>
      </c>
      <c r="D58" s="8" t="s">
        <v>43</v>
      </c>
      <c r="E58" s="1">
        <v>12.811429</v>
      </c>
      <c r="F58" s="9">
        <f t="shared" si="0"/>
        <v>51.245716000000002</v>
      </c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8">
        <f t="shared" si="1"/>
        <v>0</v>
      </c>
      <c r="AM58" s="19">
        <f t="shared" si="2"/>
        <v>4</v>
      </c>
      <c r="AN58" s="20">
        <f t="shared" si="3"/>
        <v>51.245716000000002</v>
      </c>
    </row>
    <row r="59" spans="1:40" ht="19.5" customHeight="1" x14ac:dyDescent="0.3">
      <c r="A59" s="6">
        <v>17178</v>
      </c>
      <c r="B59" s="7" t="s">
        <v>63</v>
      </c>
      <c r="C59" s="6">
        <v>6</v>
      </c>
      <c r="D59" s="8" t="s">
        <v>43</v>
      </c>
      <c r="E59" s="1">
        <v>12.447232</v>
      </c>
      <c r="F59" s="9">
        <f t="shared" si="0"/>
        <v>74.683391999999998</v>
      </c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8">
        <f t="shared" si="1"/>
        <v>0</v>
      </c>
      <c r="AM59" s="19">
        <f t="shared" si="2"/>
        <v>6</v>
      </c>
      <c r="AN59" s="20">
        <f t="shared" si="3"/>
        <v>74.683391999999998</v>
      </c>
    </row>
    <row r="60" spans="1:40" ht="19.5" customHeight="1" x14ac:dyDescent="0.3">
      <c r="A60" s="6">
        <v>7556</v>
      </c>
      <c r="B60" s="7" t="s">
        <v>64</v>
      </c>
      <c r="C60" s="6">
        <v>10</v>
      </c>
      <c r="D60" s="8" t="s">
        <v>53</v>
      </c>
      <c r="E60" s="1">
        <v>9.8528509999999994</v>
      </c>
      <c r="F60" s="9">
        <f t="shared" si="0"/>
        <v>98.528509999999997</v>
      </c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8">
        <f t="shared" si="1"/>
        <v>0</v>
      </c>
      <c r="AM60" s="19">
        <f t="shared" si="2"/>
        <v>10</v>
      </c>
      <c r="AN60" s="20">
        <f t="shared" si="3"/>
        <v>98.528509999999997</v>
      </c>
    </row>
    <row r="61" spans="1:40" ht="19.5" customHeight="1" x14ac:dyDescent="0.3">
      <c r="A61" s="6">
        <v>7555</v>
      </c>
      <c r="B61" s="7" t="s">
        <v>65</v>
      </c>
      <c r="C61" s="6">
        <v>15</v>
      </c>
      <c r="D61" s="8" t="s">
        <v>53</v>
      </c>
      <c r="E61" s="1">
        <v>9.9</v>
      </c>
      <c r="F61" s="9">
        <f t="shared" si="0"/>
        <v>148.5</v>
      </c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8">
        <f t="shared" si="1"/>
        <v>0</v>
      </c>
      <c r="AM61" s="19">
        <f t="shared" si="2"/>
        <v>15</v>
      </c>
      <c r="AN61" s="20">
        <f t="shared" si="3"/>
        <v>148.5</v>
      </c>
    </row>
    <row r="62" spans="1:40" ht="19.5" customHeight="1" x14ac:dyDescent="0.3">
      <c r="A62" s="6">
        <v>27256</v>
      </c>
      <c r="B62" s="7" t="s">
        <v>66</v>
      </c>
      <c r="C62" s="6">
        <v>15</v>
      </c>
      <c r="D62" s="8" t="s">
        <v>53</v>
      </c>
      <c r="E62" s="1">
        <v>10.158469999999999</v>
      </c>
      <c r="F62" s="9">
        <f t="shared" si="0"/>
        <v>152.37705</v>
      </c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8">
        <f t="shared" si="1"/>
        <v>0</v>
      </c>
      <c r="AM62" s="19">
        <f t="shared" si="2"/>
        <v>15</v>
      </c>
      <c r="AN62" s="20">
        <f t="shared" si="3"/>
        <v>152.37705</v>
      </c>
    </row>
    <row r="63" spans="1:40" ht="19.5" customHeight="1" x14ac:dyDescent="0.3">
      <c r="A63" s="6">
        <v>8559</v>
      </c>
      <c r="B63" s="7" t="s">
        <v>67</v>
      </c>
      <c r="C63" s="6">
        <v>10</v>
      </c>
      <c r="D63" s="8" t="s">
        <v>53</v>
      </c>
      <c r="E63" s="1">
        <v>9.8529990000000005</v>
      </c>
      <c r="F63" s="9">
        <f t="shared" si="0"/>
        <v>98.529989999999998</v>
      </c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8">
        <f t="shared" si="1"/>
        <v>0</v>
      </c>
      <c r="AM63" s="19">
        <f t="shared" si="2"/>
        <v>10</v>
      </c>
      <c r="AN63" s="20">
        <f t="shared" si="3"/>
        <v>98.529989999999998</v>
      </c>
    </row>
    <row r="64" spans="1:40" ht="19.5" customHeight="1" x14ac:dyDescent="0.3">
      <c r="A64" s="6">
        <v>7553</v>
      </c>
      <c r="B64" s="7" t="s">
        <v>68</v>
      </c>
      <c r="C64" s="6">
        <v>10</v>
      </c>
      <c r="D64" s="8" t="s">
        <v>53</v>
      </c>
      <c r="E64" s="1">
        <v>10.163693</v>
      </c>
      <c r="F64" s="9">
        <f t="shared" si="0"/>
        <v>101.63693000000001</v>
      </c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8">
        <f t="shared" si="1"/>
        <v>0</v>
      </c>
      <c r="AM64" s="19">
        <f t="shared" si="2"/>
        <v>10</v>
      </c>
      <c r="AN64" s="20">
        <f t="shared" si="3"/>
        <v>101.63693000000001</v>
      </c>
    </row>
    <row r="65" spans="1:40" ht="19.5" customHeight="1" x14ac:dyDescent="0.3">
      <c r="A65" s="6">
        <v>7560</v>
      </c>
      <c r="B65" s="7" t="s">
        <v>69</v>
      </c>
      <c r="C65" s="6">
        <v>15</v>
      </c>
      <c r="D65" s="8" t="s">
        <v>53</v>
      </c>
      <c r="E65" s="1">
        <v>9.8524139999999996</v>
      </c>
      <c r="F65" s="9">
        <f t="shared" si="0"/>
        <v>147.78620999999998</v>
      </c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8">
        <f t="shared" si="1"/>
        <v>0</v>
      </c>
      <c r="AM65" s="19">
        <f t="shared" si="2"/>
        <v>15</v>
      </c>
      <c r="AN65" s="20">
        <f t="shared" si="3"/>
        <v>147.78620999999998</v>
      </c>
    </row>
    <row r="66" spans="1:40" ht="19.5" customHeight="1" x14ac:dyDescent="0.3">
      <c r="A66" s="6">
        <v>7554</v>
      </c>
      <c r="B66" s="7" t="s">
        <v>70</v>
      </c>
      <c r="C66" s="6">
        <v>10</v>
      </c>
      <c r="D66" s="8" t="s">
        <v>53</v>
      </c>
      <c r="E66" s="1">
        <v>9.8529999999999998</v>
      </c>
      <c r="F66" s="9">
        <f t="shared" si="0"/>
        <v>98.53</v>
      </c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8">
        <f t="shared" si="1"/>
        <v>0</v>
      </c>
      <c r="AM66" s="19">
        <f t="shared" si="2"/>
        <v>10</v>
      </c>
      <c r="AN66" s="20">
        <f t="shared" si="3"/>
        <v>98.53</v>
      </c>
    </row>
    <row r="67" spans="1:40" ht="19.5" customHeight="1" x14ac:dyDescent="0.3">
      <c r="A67" s="6">
        <v>115</v>
      </c>
      <c r="B67" s="7" t="s">
        <v>71</v>
      </c>
      <c r="C67" s="7"/>
      <c r="D67" s="8" t="s">
        <v>43</v>
      </c>
      <c r="E67" s="1">
        <v>12.1</v>
      </c>
      <c r="F67" s="9">
        <f t="shared" si="0"/>
        <v>0</v>
      </c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8">
        <f t="shared" si="1"/>
        <v>0</v>
      </c>
      <c r="AM67" s="19">
        <f t="shared" si="2"/>
        <v>0</v>
      </c>
      <c r="AN67" s="20">
        <f t="shared" si="3"/>
        <v>0</v>
      </c>
    </row>
    <row r="68" spans="1:40" ht="19.5" customHeight="1" x14ac:dyDescent="0.3">
      <c r="A68" s="6">
        <v>117</v>
      </c>
      <c r="B68" s="7" t="s">
        <v>72</v>
      </c>
      <c r="C68" s="6">
        <v>4</v>
      </c>
      <c r="D68" s="8" t="s">
        <v>43</v>
      </c>
      <c r="E68" s="1">
        <v>14.447462</v>
      </c>
      <c r="F68" s="9">
        <f t="shared" si="0"/>
        <v>57.789847999999999</v>
      </c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8">
        <f t="shared" si="1"/>
        <v>0</v>
      </c>
      <c r="AM68" s="19">
        <f t="shared" si="2"/>
        <v>4</v>
      </c>
      <c r="AN68" s="20">
        <f t="shared" si="3"/>
        <v>57.789847999999999</v>
      </c>
    </row>
    <row r="69" spans="1:40" ht="19.5" customHeight="1" x14ac:dyDescent="0.3">
      <c r="A69" s="6">
        <v>18</v>
      </c>
      <c r="B69" s="7" t="s">
        <v>73</v>
      </c>
      <c r="C69" s="7"/>
      <c r="D69" s="8" t="s">
        <v>43</v>
      </c>
      <c r="E69" s="1">
        <v>15.433332999999999</v>
      </c>
      <c r="F69" s="9">
        <f t="shared" si="0"/>
        <v>0</v>
      </c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8">
        <f t="shared" si="1"/>
        <v>0</v>
      </c>
      <c r="AM69" s="19">
        <f t="shared" si="2"/>
        <v>0</v>
      </c>
      <c r="AN69" s="20">
        <f t="shared" si="3"/>
        <v>0</v>
      </c>
    </row>
    <row r="70" spans="1:40" ht="19.5" customHeight="1" x14ac:dyDescent="0.3">
      <c r="A70" s="6">
        <v>25824</v>
      </c>
      <c r="B70" s="7" t="s">
        <v>74</v>
      </c>
      <c r="C70" s="6">
        <v>0</v>
      </c>
      <c r="D70" s="8" t="s">
        <v>43</v>
      </c>
      <c r="E70" s="1">
        <v>11.11</v>
      </c>
      <c r="F70" s="9">
        <f t="shared" si="0"/>
        <v>0</v>
      </c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8">
        <f t="shared" si="1"/>
        <v>0</v>
      </c>
      <c r="AM70" s="19">
        <f t="shared" si="2"/>
        <v>0</v>
      </c>
      <c r="AN70" s="20">
        <f t="shared" si="3"/>
        <v>0</v>
      </c>
    </row>
    <row r="71" spans="1:40" ht="19.5" customHeight="1" x14ac:dyDescent="0.3">
      <c r="A71" s="6">
        <v>1173</v>
      </c>
      <c r="B71" s="7" t="s">
        <v>75</v>
      </c>
      <c r="C71" s="6">
        <v>1</v>
      </c>
      <c r="D71" s="8" t="s">
        <v>43</v>
      </c>
      <c r="E71" s="1">
        <v>10.5</v>
      </c>
      <c r="F71" s="9">
        <f t="shared" si="0"/>
        <v>10.5</v>
      </c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8">
        <f t="shared" si="1"/>
        <v>0</v>
      </c>
      <c r="AM71" s="19">
        <f t="shared" si="2"/>
        <v>1</v>
      </c>
      <c r="AN71" s="20">
        <f t="shared" si="3"/>
        <v>10.5</v>
      </c>
    </row>
    <row r="72" spans="1:40" ht="19.5" customHeight="1" x14ac:dyDescent="0.3">
      <c r="A72" s="6">
        <v>920967</v>
      </c>
      <c r="B72" s="7" t="s">
        <v>76</v>
      </c>
      <c r="C72" s="7"/>
      <c r="D72" s="8" t="s">
        <v>43</v>
      </c>
      <c r="E72" s="1">
        <v>10.009957999999999</v>
      </c>
      <c r="F72" s="9">
        <f t="shared" si="0"/>
        <v>0</v>
      </c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8">
        <f t="shared" si="1"/>
        <v>0</v>
      </c>
      <c r="AM72" s="19">
        <f t="shared" si="2"/>
        <v>0</v>
      </c>
      <c r="AN72" s="20">
        <f t="shared" si="3"/>
        <v>0</v>
      </c>
    </row>
    <row r="73" spans="1:40" ht="19.5" customHeight="1" x14ac:dyDescent="0.3">
      <c r="A73" s="6">
        <v>19849</v>
      </c>
      <c r="B73" s="7" t="s">
        <v>77</v>
      </c>
      <c r="C73" s="6">
        <v>10</v>
      </c>
      <c r="D73" s="8" t="s">
        <v>53</v>
      </c>
      <c r="E73" s="1">
        <v>5.7855379999999998</v>
      </c>
      <c r="F73" s="9">
        <f t="shared" si="0"/>
        <v>57.855379999999997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8">
        <f t="shared" si="1"/>
        <v>0</v>
      </c>
      <c r="AM73" s="19">
        <f t="shared" si="2"/>
        <v>10</v>
      </c>
      <c r="AN73" s="20">
        <f t="shared" si="3"/>
        <v>57.855379999999997</v>
      </c>
    </row>
    <row r="74" spans="1:40" ht="19.5" customHeight="1" x14ac:dyDescent="0.3">
      <c r="A74" s="6">
        <v>28911</v>
      </c>
      <c r="B74" s="7" t="s">
        <v>78</v>
      </c>
      <c r="C74" s="6">
        <v>15</v>
      </c>
      <c r="D74" s="8" t="s">
        <v>53</v>
      </c>
      <c r="E74" s="1">
        <v>5.7460000000000004</v>
      </c>
      <c r="F74" s="9">
        <f t="shared" si="0"/>
        <v>86.190000000000012</v>
      </c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8">
        <f t="shared" si="1"/>
        <v>0</v>
      </c>
      <c r="AM74" s="19">
        <f t="shared" si="2"/>
        <v>15</v>
      </c>
      <c r="AN74" s="20">
        <f t="shared" si="3"/>
        <v>86.190000000000012</v>
      </c>
    </row>
    <row r="75" spans="1:40" ht="19.5" customHeight="1" x14ac:dyDescent="0.3">
      <c r="A75" s="6">
        <v>20425</v>
      </c>
      <c r="B75" s="7" t="s">
        <v>79</v>
      </c>
      <c r="C75" s="6">
        <v>10</v>
      </c>
      <c r="D75" s="8" t="s">
        <v>53</v>
      </c>
      <c r="E75" s="1">
        <v>5.7855990000000004</v>
      </c>
      <c r="F75" s="9">
        <f t="shared" si="0"/>
        <v>57.855990000000006</v>
      </c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8">
        <f t="shared" si="1"/>
        <v>0</v>
      </c>
      <c r="AM75" s="19">
        <f t="shared" si="2"/>
        <v>10</v>
      </c>
      <c r="AN75" s="20">
        <f t="shared" si="3"/>
        <v>57.855990000000006</v>
      </c>
    </row>
    <row r="76" spans="1:40" ht="19.5" customHeight="1" x14ac:dyDescent="0.3">
      <c r="A76" s="6">
        <v>24747</v>
      </c>
      <c r="B76" s="7" t="s">
        <v>80</v>
      </c>
      <c r="C76" s="6">
        <v>10</v>
      </c>
      <c r="D76" s="8" t="s">
        <v>53</v>
      </c>
      <c r="E76" s="1">
        <v>5.7855999999999996</v>
      </c>
      <c r="F76" s="9">
        <f t="shared" si="0"/>
        <v>57.855999999999995</v>
      </c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8">
        <f t="shared" si="1"/>
        <v>0</v>
      </c>
      <c r="AM76" s="19">
        <f t="shared" si="2"/>
        <v>10</v>
      </c>
      <c r="AN76" s="20">
        <f t="shared" si="3"/>
        <v>57.855999999999995</v>
      </c>
    </row>
    <row r="77" spans="1:40" ht="19.5" customHeight="1" x14ac:dyDescent="0.3">
      <c r="A77" s="6">
        <v>51</v>
      </c>
      <c r="B77" s="7" t="s">
        <v>81</v>
      </c>
      <c r="C77" s="6">
        <v>2</v>
      </c>
      <c r="D77" s="8" t="s">
        <v>43</v>
      </c>
      <c r="E77" s="1">
        <v>3.0608230000000001</v>
      </c>
      <c r="F77" s="9">
        <f t="shared" si="0"/>
        <v>6.1216460000000001</v>
      </c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8">
        <f t="shared" si="1"/>
        <v>0</v>
      </c>
      <c r="AM77" s="19">
        <f t="shared" si="2"/>
        <v>2</v>
      </c>
      <c r="AN77" s="20">
        <f t="shared" si="3"/>
        <v>6.1216460000000001</v>
      </c>
    </row>
    <row r="78" spans="1:40" ht="19.5" customHeight="1" x14ac:dyDescent="0.3">
      <c r="A78" s="6">
        <v>952</v>
      </c>
      <c r="B78" s="7" t="s">
        <v>82</v>
      </c>
      <c r="C78" s="6">
        <v>1</v>
      </c>
      <c r="D78" s="8" t="s">
        <v>43</v>
      </c>
      <c r="E78" s="1">
        <v>2.63</v>
      </c>
      <c r="F78" s="9">
        <f t="shared" si="0"/>
        <v>2.63</v>
      </c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8">
        <f t="shared" si="1"/>
        <v>0</v>
      </c>
      <c r="AM78" s="19">
        <f t="shared" si="2"/>
        <v>1</v>
      </c>
      <c r="AN78" s="20">
        <f t="shared" si="3"/>
        <v>2.63</v>
      </c>
    </row>
    <row r="79" spans="1:40" ht="19.5" customHeight="1" x14ac:dyDescent="0.3">
      <c r="A79" s="6">
        <v>173</v>
      </c>
      <c r="B79" s="7" t="s">
        <v>83</v>
      </c>
      <c r="C79" s="6">
        <v>30</v>
      </c>
      <c r="D79" s="8" t="s">
        <v>53</v>
      </c>
      <c r="E79" s="1">
        <v>7.0211129999999997</v>
      </c>
      <c r="F79" s="9">
        <f t="shared" si="0"/>
        <v>210.63338999999999</v>
      </c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8">
        <f t="shared" si="1"/>
        <v>0</v>
      </c>
      <c r="AM79" s="19">
        <f t="shared" si="2"/>
        <v>30</v>
      </c>
      <c r="AN79" s="20">
        <f t="shared" si="3"/>
        <v>210.63338999999999</v>
      </c>
    </row>
    <row r="80" spans="1:40" ht="19.5" customHeight="1" x14ac:dyDescent="0.3">
      <c r="A80" s="6">
        <v>9155</v>
      </c>
      <c r="B80" s="7" t="s">
        <v>84</v>
      </c>
      <c r="C80" s="6">
        <v>10</v>
      </c>
      <c r="D80" s="8" t="s">
        <v>53</v>
      </c>
      <c r="E80" s="1">
        <v>7.0177269999999998</v>
      </c>
      <c r="F80" s="9">
        <f t="shared" si="0"/>
        <v>70.177269999999993</v>
      </c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8">
        <f t="shared" si="1"/>
        <v>0</v>
      </c>
      <c r="AM80" s="19">
        <f t="shared" si="2"/>
        <v>10</v>
      </c>
      <c r="AN80" s="20">
        <f t="shared" si="3"/>
        <v>70.177269999999993</v>
      </c>
    </row>
    <row r="81" spans="1:40" ht="19.5" customHeight="1" x14ac:dyDescent="0.3">
      <c r="A81" s="6">
        <v>21366</v>
      </c>
      <c r="B81" s="7" t="s">
        <v>85</v>
      </c>
      <c r="C81" s="6">
        <v>5</v>
      </c>
      <c r="D81" s="8" t="s">
        <v>53</v>
      </c>
      <c r="E81" s="1">
        <v>5.9713630000000002</v>
      </c>
      <c r="F81" s="9">
        <f t="shared" si="0"/>
        <v>29.856815000000001</v>
      </c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8">
        <f t="shared" si="1"/>
        <v>0</v>
      </c>
      <c r="AM81" s="19">
        <f t="shared" si="2"/>
        <v>5</v>
      </c>
      <c r="AN81" s="20">
        <f t="shared" si="3"/>
        <v>29.856815000000001</v>
      </c>
    </row>
    <row r="82" spans="1:40" ht="19.5" customHeight="1" x14ac:dyDescent="0.3">
      <c r="A82" s="6">
        <v>21367</v>
      </c>
      <c r="B82" s="7" t="s">
        <v>86</v>
      </c>
      <c r="C82" s="6">
        <v>5</v>
      </c>
      <c r="D82" s="8" t="s">
        <v>53</v>
      </c>
      <c r="E82" s="1">
        <v>5.9700819999999997</v>
      </c>
      <c r="F82" s="9">
        <f t="shared" si="0"/>
        <v>29.850409999999997</v>
      </c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8">
        <f t="shared" si="1"/>
        <v>0</v>
      </c>
      <c r="AM82" s="19">
        <f t="shared" si="2"/>
        <v>5</v>
      </c>
      <c r="AN82" s="20">
        <f t="shared" si="3"/>
        <v>29.850409999999997</v>
      </c>
    </row>
    <row r="83" spans="1:40" ht="19.5" customHeight="1" x14ac:dyDescent="0.3">
      <c r="A83" s="6">
        <v>7563</v>
      </c>
      <c r="B83" s="7" t="s">
        <v>87</v>
      </c>
      <c r="C83" s="6">
        <v>15</v>
      </c>
      <c r="D83" s="8" t="s">
        <v>53</v>
      </c>
      <c r="E83" s="1">
        <v>5.7855970000000001</v>
      </c>
      <c r="F83" s="9">
        <f t="shared" si="0"/>
        <v>86.783955000000006</v>
      </c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8">
        <f t="shared" si="1"/>
        <v>0</v>
      </c>
      <c r="AM83" s="19">
        <f t="shared" si="2"/>
        <v>15</v>
      </c>
      <c r="AN83" s="20">
        <f t="shared" si="3"/>
        <v>86.783955000000006</v>
      </c>
    </row>
    <row r="84" spans="1:40" ht="19.5" customHeight="1" x14ac:dyDescent="0.3">
      <c r="A84" s="6">
        <v>26662</v>
      </c>
      <c r="B84" s="7" t="s">
        <v>88</v>
      </c>
      <c r="C84" s="6">
        <v>10</v>
      </c>
      <c r="D84" s="8" t="s">
        <v>53</v>
      </c>
      <c r="E84" s="1">
        <v>7.0648390000000001</v>
      </c>
      <c r="F84" s="9">
        <f t="shared" si="0"/>
        <v>70.648390000000006</v>
      </c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8">
        <f t="shared" si="1"/>
        <v>0</v>
      </c>
      <c r="AM84" s="19">
        <f t="shared" si="2"/>
        <v>10</v>
      </c>
      <c r="AN84" s="20">
        <f t="shared" si="3"/>
        <v>70.648390000000006</v>
      </c>
    </row>
    <row r="85" spans="1:40" ht="19.5" customHeight="1" x14ac:dyDescent="0.3">
      <c r="A85" s="6">
        <v>4098</v>
      </c>
      <c r="B85" s="7" t="s">
        <v>89</v>
      </c>
      <c r="C85" s="6">
        <v>10</v>
      </c>
      <c r="D85" s="8" t="s">
        <v>53</v>
      </c>
      <c r="E85" s="1">
        <v>7.6805719999999997</v>
      </c>
      <c r="F85" s="9">
        <f t="shared" si="0"/>
        <v>76.805719999999994</v>
      </c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8">
        <f t="shared" si="1"/>
        <v>0</v>
      </c>
      <c r="AM85" s="19">
        <f t="shared" si="2"/>
        <v>10</v>
      </c>
      <c r="AN85" s="20">
        <f t="shared" si="3"/>
        <v>76.805719999999994</v>
      </c>
    </row>
    <row r="86" spans="1:40" ht="19.5" customHeight="1" x14ac:dyDescent="0.3">
      <c r="A86" s="6">
        <v>27731</v>
      </c>
      <c r="B86" s="7" t="s">
        <v>90</v>
      </c>
      <c r="C86" s="6">
        <v>2</v>
      </c>
      <c r="D86" s="8" t="s">
        <v>53</v>
      </c>
      <c r="E86" s="1">
        <v>9.0108470000000001</v>
      </c>
      <c r="F86" s="9">
        <f t="shared" si="0"/>
        <v>18.021694</v>
      </c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8">
        <f t="shared" si="1"/>
        <v>0</v>
      </c>
      <c r="AM86" s="19">
        <f t="shared" si="2"/>
        <v>2</v>
      </c>
      <c r="AN86" s="20">
        <f t="shared" si="3"/>
        <v>18.021694</v>
      </c>
    </row>
    <row r="87" spans="1:40" ht="19.5" customHeight="1" x14ac:dyDescent="0.3">
      <c r="A87" s="6">
        <v>128</v>
      </c>
      <c r="B87" s="7" t="s">
        <v>91</v>
      </c>
      <c r="C87" s="6">
        <v>7</v>
      </c>
      <c r="D87" s="8" t="s">
        <v>43</v>
      </c>
      <c r="E87" s="1">
        <v>13.1</v>
      </c>
      <c r="F87" s="9">
        <f t="shared" si="0"/>
        <v>91.7</v>
      </c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8">
        <f t="shared" si="1"/>
        <v>0</v>
      </c>
      <c r="AM87" s="19">
        <f t="shared" si="2"/>
        <v>7</v>
      </c>
      <c r="AN87" s="20">
        <f t="shared" si="3"/>
        <v>91.7</v>
      </c>
    </row>
    <row r="88" spans="1:40" ht="19.5" customHeight="1" x14ac:dyDescent="0.3">
      <c r="A88" s="6">
        <v>987035</v>
      </c>
      <c r="B88" s="7" t="s">
        <v>92</v>
      </c>
      <c r="C88" s="6">
        <v>1</v>
      </c>
      <c r="D88" s="8" t="s">
        <v>43</v>
      </c>
      <c r="E88" s="1">
        <v>11.5</v>
      </c>
      <c r="F88" s="9">
        <f t="shared" si="0"/>
        <v>11.5</v>
      </c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8">
        <f t="shared" si="1"/>
        <v>0</v>
      </c>
      <c r="AM88" s="19">
        <f t="shared" si="2"/>
        <v>1</v>
      </c>
      <c r="AN88" s="20">
        <f t="shared" si="3"/>
        <v>11.5</v>
      </c>
    </row>
    <row r="89" spans="1:40" ht="19.5" customHeight="1" x14ac:dyDescent="0.3">
      <c r="A89" s="6">
        <v>6991</v>
      </c>
      <c r="B89" s="7" t="s">
        <v>93</v>
      </c>
      <c r="C89" s="6">
        <v>4</v>
      </c>
      <c r="D89" s="8" t="s">
        <v>43</v>
      </c>
      <c r="E89" s="1">
        <v>11.994908000000001</v>
      </c>
      <c r="F89" s="9">
        <f t="shared" si="0"/>
        <v>47.979632000000002</v>
      </c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8">
        <f t="shared" si="1"/>
        <v>0</v>
      </c>
      <c r="AM89" s="19">
        <f t="shared" si="2"/>
        <v>4</v>
      </c>
      <c r="AN89" s="20">
        <f t="shared" si="3"/>
        <v>47.979632000000002</v>
      </c>
    </row>
    <row r="90" spans="1:40" ht="19.5" customHeight="1" x14ac:dyDescent="0.3">
      <c r="A90" s="6">
        <v>909569</v>
      </c>
      <c r="B90" s="7" t="s">
        <v>94</v>
      </c>
      <c r="C90" s="6">
        <v>5</v>
      </c>
      <c r="D90" s="8" t="s">
        <v>43</v>
      </c>
      <c r="E90" s="1">
        <v>12.605797000000001</v>
      </c>
      <c r="F90" s="9">
        <f t="shared" si="0"/>
        <v>63.028985000000006</v>
      </c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8">
        <f t="shared" si="1"/>
        <v>0</v>
      </c>
      <c r="AM90" s="19">
        <f t="shared" si="2"/>
        <v>5</v>
      </c>
      <c r="AN90" s="20">
        <f t="shared" si="3"/>
        <v>63.028985000000006</v>
      </c>
    </row>
    <row r="91" spans="1:40" ht="19.5" customHeight="1" x14ac:dyDescent="0.3">
      <c r="A91" s="6">
        <v>15594</v>
      </c>
      <c r="B91" s="7" t="s">
        <v>95</v>
      </c>
      <c r="C91" s="6">
        <v>0</v>
      </c>
      <c r="D91" s="8" t="s">
        <v>43</v>
      </c>
      <c r="E91" s="1">
        <v>2.0539999999999998</v>
      </c>
      <c r="F91" s="9">
        <f t="shared" si="0"/>
        <v>0</v>
      </c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8">
        <f t="shared" si="1"/>
        <v>0</v>
      </c>
      <c r="AM91" s="19">
        <f t="shared" si="2"/>
        <v>0</v>
      </c>
      <c r="AN91" s="20">
        <f t="shared" si="3"/>
        <v>0</v>
      </c>
    </row>
    <row r="92" spans="1:40" ht="19.5" customHeight="1" x14ac:dyDescent="0.3">
      <c r="A92" s="6">
        <v>14989</v>
      </c>
      <c r="B92" s="7" t="s">
        <v>96</v>
      </c>
      <c r="C92" s="6">
        <v>3</v>
      </c>
      <c r="D92" s="8" t="s">
        <v>43</v>
      </c>
      <c r="E92" s="1">
        <v>1.848992</v>
      </c>
      <c r="F92" s="9">
        <f t="shared" si="0"/>
        <v>5.5469759999999999</v>
      </c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8">
        <f t="shared" si="1"/>
        <v>0</v>
      </c>
      <c r="AM92" s="19">
        <f t="shared" si="2"/>
        <v>3</v>
      </c>
      <c r="AN92" s="20">
        <f t="shared" si="3"/>
        <v>5.5469759999999999</v>
      </c>
    </row>
    <row r="93" spans="1:40" ht="19.5" customHeight="1" x14ac:dyDescent="0.3">
      <c r="A93" s="6">
        <v>4816</v>
      </c>
      <c r="B93" s="7" t="s">
        <v>97</v>
      </c>
      <c r="C93" s="6">
        <v>20</v>
      </c>
      <c r="D93" s="8" t="s">
        <v>53</v>
      </c>
      <c r="E93" s="1">
        <v>1.2104999999999999</v>
      </c>
      <c r="F93" s="9">
        <f t="shared" si="0"/>
        <v>24.209999999999997</v>
      </c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8">
        <f t="shared" si="1"/>
        <v>0</v>
      </c>
      <c r="AM93" s="19">
        <f t="shared" si="2"/>
        <v>20</v>
      </c>
      <c r="AN93" s="20">
        <f t="shared" si="3"/>
        <v>24.209999999999997</v>
      </c>
    </row>
    <row r="94" spans="1:40" ht="19.5" customHeight="1" x14ac:dyDescent="0.3">
      <c r="A94" s="6">
        <v>4815</v>
      </c>
      <c r="B94" s="7" t="s">
        <v>98</v>
      </c>
      <c r="C94" s="6">
        <v>30</v>
      </c>
      <c r="D94" s="8" t="s">
        <v>53</v>
      </c>
      <c r="E94" s="1">
        <v>1.1180000000000001</v>
      </c>
      <c r="F94" s="9">
        <f t="shared" si="0"/>
        <v>33.540000000000006</v>
      </c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8">
        <f t="shared" si="1"/>
        <v>0</v>
      </c>
      <c r="AM94" s="19">
        <f t="shared" si="2"/>
        <v>30</v>
      </c>
      <c r="AN94" s="20">
        <f t="shared" si="3"/>
        <v>33.540000000000006</v>
      </c>
    </row>
    <row r="95" spans="1:40" ht="19.5" customHeight="1" x14ac:dyDescent="0.3">
      <c r="A95" s="6">
        <v>4840</v>
      </c>
      <c r="B95" s="7" t="s">
        <v>99</v>
      </c>
      <c r="C95" s="6">
        <v>25</v>
      </c>
      <c r="D95" s="8" t="s">
        <v>53</v>
      </c>
      <c r="E95" s="1">
        <v>1.1180000000000001</v>
      </c>
      <c r="F95" s="9">
        <f t="shared" si="0"/>
        <v>27.950000000000003</v>
      </c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8">
        <f t="shared" si="1"/>
        <v>0</v>
      </c>
      <c r="AM95" s="19">
        <f t="shared" si="2"/>
        <v>25</v>
      </c>
      <c r="AN95" s="20">
        <f t="shared" si="3"/>
        <v>27.950000000000003</v>
      </c>
    </row>
    <row r="96" spans="1:40" ht="19.5" customHeight="1" x14ac:dyDescent="0.3">
      <c r="A96" s="6">
        <v>9407</v>
      </c>
      <c r="B96" s="7" t="s">
        <v>100</v>
      </c>
      <c r="C96" s="6">
        <v>13</v>
      </c>
      <c r="D96" s="8" t="s">
        <v>43</v>
      </c>
      <c r="E96" s="1">
        <v>10.450029000000001</v>
      </c>
      <c r="F96" s="9">
        <f t="shared" si="0"/>
        <v>135.85037700000001</v>
      </c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8">
        <f t="shared" si="1"/>
        <v>0</v>
      </c>
      <c r="AM96" s="19">
        <f t="shared" si="2"/>
        <v>13</v>
      </c>
      <c r="AN96" s="20">
        <f t="shared" si="3"/>
        <v>135.85037700000001</v>
      </c>
    </row>
    <row r="97" spans="1:40" ht="19.5" customHeight="1" x14ac:dyDescent="0.3">
      <c r="A97" s="6">
        <v>35</v>
      </c>
      <c r="B97" s="7" t="s">
        <v>101</v>
      </c>
      <c r="C97" s="6">
        <v>7</v>
      </c>
      <c r="D97" s="8" t="s">
        <v>43</v>
      </c>
      <c r="E97" s="1">
        <v>11.119999</v>
      </c>
      <c r="F97" s="9">
        <f t="shared" si="0"/>
        <v>77.839992999999993</v>
      </c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8">
        <f t="shared" si="1"/>
        <v>0</v>
      </c>
      <c r="AM97" s="19">
        <f t="shared" si="2"/>
        <v>7</v>
      </c>
      <c r="AN97" s="20">
        <f t="shared" si="3"/>
        <v>77.839992999999993</v>
      </c>
    </row>
    <row r="98" spans="1:40" ht="19.5" customHeight="1" x14ac:dyDescent="0.3">
      <c r="A98" s="6">
        <v>39</v>
      </c>
      <c r="B98" s="7" t="s">
        <v>102</v>
      </c>
      <c r="C98" s="6">
        <v>1</v>
      </c>
      <c r="D98" s="8" t="s">
        <v>43</v>
      </c>
      <c r="E98" s="1">
        <v>12.82</v>
      </c>
      <c r="F98" s="9">
        <f t="shared" si="0"/>
        <v>12.82</v>
      </c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8">
        <f t="shared" si="1"/>
        <v>0</v>
      </c>
      <c r="AM98" s="19">
        <f t="shared" si="2"/>
        <v>1</v>
      </c>
      <c r="AN98" s="20">
        <f t="shared" si="3"/>
        <v>12.82</v>
      </c>
    </row>
    <row r="99" spans="1:40" ht="19.5" customHeight="1" x14ac:dyDescent="0.3">
      <c r="A99" s="6">
        <v>15</v>
      </c>
      <c r="B99" s="7" t="s">
        <v>103</v>
      </c>
      <c r="C99" s="6">
        <v>8</v>
      </c>
      <c r="D99" s="8" t="s">
        <v>43</v>
      </c>
      <c r="E99" s="1">
        <v>10.499969</v>
      </c>
      <c r="F99" s="9">
        <f t="shared" si="0"/>
        <v>83.999752000000001</v>
      </c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8">
        <f t="shared" si="1"/>
        <v>0</v>
      </c>
      <c r="AM99" s="19">
        <f t="shared" si="2"/>
        <v>8</v>
      </c>
      <c r="AN99" s="20">
        <f t="shared" si="3"/>
        <v>83.999752000000001</v>
      </c>
    </row>
    <row r="100" spans="1:40" ht="19.5" customHeight="1" x14ac:dyDescent="0.3">
      <c r="A100" s="6">
        <v>23137</v>
      </c>
      <c r="B100" s="7" t="s">
        <v>104</v>
      </c>
      <c r="C100" s="6">
        <v>20</v>
      </c>
      <c r="D100" s="8" t="s">
        <v>53</v>
      </c>
      <c r="E100" s="1">
        <v>4.9980000000000002</v>
      </c>
      <c r="F100" s="9">
        <f t="shared" si="0"/>
        <v>99.960000000000008</v>
      </c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8">
        <f t="shared" si="1"/>
        <v>0</v>
      </c>
      <c r="AM100" s="19">
        <f t="shared" si="2"/>
        <v>20</v>
      </c>
      <c r="AN100" s="20">
        <f t="shared" si="3"/>
        <v>99.960000000000008</v>
      </c>
    </row>
    <row r="101" spans="1:40" ht="19.5" customHeight="1" x14ac:dyDescent="0.3">
      <c r="A101" s="6">
        <v>23136</v>
      </c>
      <c r="B101" s="7" t="s">
        <v>105</v>
      </c>
      <c r="C101" s="6">
        <v>10</v>
      </c>
      <c r="D101" s="8" t="s">
        <v>53</v>
      </c>
      <c r="E101" s="1">
        <v>7.4999989999999999</v>
      </c>
      <c r="F101" s="9">
        <f t="shared" si="0"/>
        <v>74.999989999999997</v>
      </c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8">
        <f t="shared" si="1"/>
        <v>0</v>
      </c>
      <c r="AM101" s="19">
        <f t="shared" si="2"/>
        <v>10</v>
      </c>
      <c r="AN101" s="20">
        <f t="shared" si="3"/>
        <v>74.999989999999997</v>
      </c>
    </row>
    <row r="102" spans="1:40" ht="19.5" customHeight="1" x14ac:dyDescent="0.3">
      <c r="A102" s="6">
        <v>23139</v>
      </c>
      <c r="B102" s="7" t="s">
        <v>106</v>
      </c>
      <c r="C102" s="6">
        <v>15</v>
      </c>
      <c r="D102" s="8" t="s">
        <v>53</v>
      </c>
      <c r="E102" s="1">
        <v>5.658989</v>
      </c>
      <c r="F102" s="9">
        <f t="shared" si="0"/>
        <v>84.884834999999995</v>
      </c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8">
        <f t="shared" si="1"/>
        <v>0</v>
      </c>
      <c r="AM102" s="19">
        <f t="shared" si="2"/>
        <v>15</v>
      </c>
      <c r="AN102" s="20">
        <f t="shared" si="3"/>
        <v>84.884834999999995</v>
      </c>
    </row>
    <row r="103" spans="1:40" ht="27" customHeight="1" x14ac:dyDescent="0.3">
      <c r="C103" s="10">
        <f>SUM(C7:C102)</f>
        <v>1181</v>
      </c>
      <c r="D103" s="31" t="s">
        <v>119</v>
      </c>
      <c r="E103" s="27"/>
      <c r="F103" s="21">
        <f>SUM(F7:F102)</f>
        <v>4176.9603240000006</v>
      </c>
      <c r="AL103" s="10">
        <f t="shared" ref="AL103:AN103" si="4">SUM(AL7:AL102)</f>
        <v>0</v>
      </c>
      <c r="AM103" s="19">
        <f t="shared" si="4"/>
        <v>1181</v>
      </c>
      <c r="AN103" s="22">
        <f t="shared" si="4"/>
        <v>4176.9603240000006</v>
      </c>
    </row>
    <row r="104" spans="1:40" ht="15.75" customHeight="1" x14ac:dyDescent="0.3">
      <c r="E104" s="7"/>
      <c r="F104" s="7"/>
      <c r="AN104" s="11"/>
    </row>
    <row r="105" spans="1:40" ht="15.75" customHeight="1" x14ac:dyDescent="0.3">
      <c r="E105" s="7"/>
      <c r="F105" s="7"/>
      <c r="AN105" s="11"/>
    </row>
    <row r="106" spans="1:40" ht="15.75" customHeight="1" x14ac:dyDescent="0.3">
      <c r="AN106" s="11"/>
    </row>
    <row r="107" spans="1:40" ht="15.75" customHeight="1" x14ac:dyDescent="0.3">
      <c r="AN107" s="11"/>
    </row>
    <row r="108" spans="1:40" ht="15.75" customHeight="1" x14ac:dyDescent="0.3">
      <c r="AN108" s="11"/>
    </row>
    <row r="109" spans="1:40" ht="15.75" customHeight="1" x14ac:dyDescent="0.3">
      <c r="AN109" s="11"/>
    </row>
    <row r="110" spans="1:40" ht="15.75" customHeight="1" x14ac:dyDescent="0.3">
      <c r="AN110" s="11"/>
    </row>
    <row r="111" spans="1:40" ht="15.75" customHeight="1" x14ac:dyDescent="0.3">
      <c r="AN111" s="11"/>
    </row>
    <row r="112" spans="1:40" ht="15.75" customHeight="1" x14ac:dyDescent="0.3">
      <c r="AN112" s="11"/>
    </row>
    <row r="113" spans="40:40" ht="15.75" customHeight="1" x14ac:dyDescent="0.3">
      <c r="AN113" s="11"/>
    </row>
    <row r="114" spans="40:40" ht="15.75" customHeight="1" x14ac:dyDescent="0.3">
      <c r="AN114" s="11"/>
    </row>
    <row r="115" spans="40:40" ht="15.75" customHeight="1" x14ac:dyDescent="0.3">
      <c r="AN115" s="11"/>
    </row>
    <row r="116" spans="40:40" ht="15.75" customHeight="1" x14ac:dyDescent="0.3">
      <c r="AN116" s="11"/>
    </row>
    <row r="117" spans="40:40" ht="15.75" customHeight="1" x14ac:dyDescent="0.3">
      <c r="AN117" s="11"/>
    </row>
    <row r="118" spans="40:40" ht="15.75" customHeight="1" x14ac:dyDescent="0.3">
      <c r="AN118" s="11"/>
    </row>
    <row r="119" spans="40:40" ht="15.75" customHeight="1" x14ac:dyDescent="0.3">
      <c r="AN119" s="11"/>
    </row>
    <row r="120" spans="40:40" ht="15.75" customHeight="1" x14ac:dyDescent="0.3">
      <c r="AN120" s="11"/>
    </row>
    <row r="121" spans="40:40" ht="15.75" customHeight="1" x14ac:dyDescent="0.3">
      <c r="AN121" s="11"/>
    </row>
    <row r="122" spans="40:40" ht="15.75" customHeight="1" x14ac:dyDescent="0.3">
      <c r="AN122" s="11"/>
    </row>
    <row r="123" spans="40:40" ht="15.75" customHeight="1" x14ac:dyDescent="0.3">
      <c r="AN123" s="11"/>
    </row>
    <row r="124" spans="40:40" ht="15.75" customHeight="1" x14ac:dyDescent="0.3">
      <c r="AN124" s="11"/>
    </row>
    <row r="125" spans="40:40" ht="15.75" customHeight="1" x14ac:dyDescent="0.3">
      <c r="AN125" s="11"/>
    </row>
    <row r="126" spans="40:40" ht="15.75" customHeight="1" x14ac:dyDescent="0.3">
      <c r="AN126" s="11"/>
    </row>
    <row r="127" spans="40:40" ht="15.75" customHeight="1" x14ac:dyDescent="0.3">
      <c r="AN127" s="11"/>
    </row>
    <row r="128" spans="40:40" ht="15.75" customHeight="1" x14ac:dyDescent="0.3">
      <c r="AN128" s="11"/>
    </row>
    <row r="129" spans="40:40" ht="15.75" customHeight="1" x14ac:dyDescent="0.3">
      <c r="AN129" s="11"/>
    </row>
    <row r="130" spans="40:40" ht="15.75" customHeight="1" x14ac:dyDescent="0.3">
      <c r="AN130" s="11"/>
    </row>
    <row r="131" spans="40:40" ht="15.75" customHeight="1" x14ac:dyDescent="0.3">
      <c r="AN131" s="11"/>
    </row>
    <row r="132" spans="40:40" ht="15.75" customHeight="1" x14ac:dyDescent="0.3">
      <c r="AN132" s="11"/>
    </row>
    <row r="133" spans="40:40" ht="15.75" customHeight="1" x14ac:dyDescent="0.3">
      <c r="AN133" s="11"/>
    </row>
    <row r="134" spans="40:40" ht="15.75" customHeight="1" x14ac:dyDescent="0.3">
      <c r="AN134" s="11"/>
    </row>
    <row r="135" spans="40:40" ht="15.75" customHeight="1" x14ac:dyDescent="0.3">
      <c r="AN135" s="11"/>
    </row>
    <row r="136" spans="40:40" ht="15.75" customHeight="1" x14ac:dyDescent="0.3">
      <c r="AN136" s="11"/>
    </row>
    <row r="137" spans="40:40" ht="15.75" customHeight="1" x14ac:dyDescent="0.3">
      <c r="AN137" s="11"/>
    </row>
    <row r="138" spans="40:40" ht="15.75" customHeight="1" x14ac:dyDescent="0.3">
      <c r="AN138" s="11"/>
    </row>
    <row r="139" spans="40:40" ht="15.75" customHeight="1" x14ac:dyDescent="0.3">
      <c r="AN139" s="11"/>
    </row>
    <row r="140" spans="40:40" ht="15.75" customHeight="1" x14ac:dyDescent="0.3">
      <c r="AN140" s="11"/>
    </row>
    <row r="141" spans="40:40" ht="15.75" customHeight="1" x14ac:dyDescent="0.3">
      <c r="AN141" s="11"/>
    </row>
    <row r="142" spans="40:40" ht="15.75" customHeight="1" x14ac:dyDescent="0.3">
      <c r="AN142" s="11"/>
    </row>
    <row r="143" spans="40:40" ht="15.75" customHeight="1" x14ac:dyDescent="0.3">
      <c r="AN143" s="11"/>
    </row>
    <row r="144" spans="40:40" ht="15.75" customHeight="1" x14ac:dyDescent="0.3">
      <c r="AN144" s="11"/>
    </row>
    <row r="145" spans="40:40" ht="15.75" customHeight="1" x14ac:dyDescent="0.3">
      <c r="AN145" s="11"/>
    </row>
    <row r="146" spans="40:40" ht="15.75" customHeight="1" x14ac:dyDescent="0.3">
      <c r="AN146" s="11"/>
    </row>
    <row r="147" spans="40:40" ht="15.75" customHeight="1" x14ac:dyDescent="0.3">
      <c r="AN147" s="11"/>
    </row>
    <row r="148" spans="40:40" ht="15.75" customHeight="1" x14ac:dyDescent="0.3">
      <c r="AN148" s="11"/>
    </row>
    <row r="149" spans="40:40" ht="15.75" customHeight="1" x14ac:dyDescent="0.3">
      <c r="AN149" s="11"/>
    </row>
    <row r="150" spans="40:40" ht="15.75" customHeight="1" x14ac:dyDescent="0.3">
      <c r="AN150" s="11"/>
    </row>
    <row r="151" spans="40:40" ht="15.75" customHeight="1" x14ac:dyDescent="0.3">
      <c r="AN151" s="11"/>
    </row>
    <row r="152" spans="40:40" ht="15.75" customHeight="1" x14ac:dyDescent="0.3">
      <c r="AN152" s="11"/>
    </row>
    <row r="153" spans="40:40" ht="15.75" customHeight="1" x14ac:dyDescent="0.3">
      <c r="AN153" s="11"/>
    </row>
    <row r="154" spans="40:40" ht="15.75" customHeight="1" x14ac:dyDescent="0.3">
      <c r="AN154" s="11"/>
    </row>
    <row r="155" spans="40:40" ht="15.75" customHeight="1" x14ac:dyDescent="0.3">
      <c r="AN155" s="11"/>
    </row>
    <row r="156" spans="40:40" ht="15.75" customHeight="1" x14ac:dyDescent="0.3">
      <c r="AN156" s="11"/>
    </row>
    <row r="157" spans="40:40" ht="15.75" customHeight="1" x14ac:dyDescent="0.3">
      <c r="AN157" s="11"/>
    </row>
    <row r="158" spans="40:40" ht="15.75" customHeight="1" x14ac:dyDescent="0.3">
      <c r="AN158" s="11"/>
    </row>
    <row r="159" spans="40:40" ht="15.75" customHeight="1" x14ac:dyDescent="0.3">
      <c r="AN159" s="11"/>
    </row>
    <row r="160" spans="40:40" ht="15.75" customHeight="1" x14ac:dyDescent="0.3">
      <c r="AN160" s="11"/>
    </row>
    <row r="161" spans="40:40" ht="15.75" customHeight="1" x14ac:dyDescent="0.3">
      <c r="AN161" s="11"/>
    </row>
    <row r="162" spans="40:40" ht="15.75" customHeight="1" x14ac:dyDescent="0.3">
      <c r="AN162" s="11"/>
    </row>
    <row r="163" spans="40:40" ht="15.75" customHeight="1" x14ac:dyDescent="0.3">
      <c r="AN163" s="11"/>
    </row>
    <row r="164" spans="40:40" ht="15.75" customHeight="1" x14ac:dyDescent="0.3">
      <c r="AN164" s="11"/>
    </row>
    <row r="165" spans="40:40" ht="15.75" customHeight="1" x14ac:dyDescent="0.3">
      <c r="AN165" s="11"/>
    </row>
    <row r="166" spans="40:40" ht="15.75" customHeight="1" x14ac:dyDescent="0.3">
      <c r="AN166" s="11"/>
    </row>
    <row r="167" spans="40:40" ht="15.75" customHeight="1" x14ac:dyDescent="0.3">
      <c r="AN167" s="11"/>
    </row>
    <row r="168" spans="40:40" ht="15.75" customHeight="1" x14ac:dyDescent="0.3">
      <c r="AN168" s="11"/>
    </row>
    <row r="169" spans="40:40" ht="15.75" customHeight="1" x14ac:dyDescent="0.3">
      <c r="AN169" s="11"/>
    </row>
    <row r="170" spans="40:40" ht="15.75" customHeight="1" x14ac:dyDescent="0.3">
      <c r="AN170" s="11"/>
    </row>
    <row r="171" spans="40:40" ht="15.75" customHeight="1" x14ac:dyDescent="0.3">
      <c r="AN171" s="11"/>
    </row>
    <row r="172" spans="40:40" ht="15.75" customHeight="1" x14ac:dyDescent="0.3">
      <c r="AN172" s="11"/>
    </row>
    <row r="173" spans="40:40" ht="15.75" customHeight="1" x14ac:dyDescent="0.3">
      <c r="AN173" s="11"/>
    </row>
    <row r="174" spans="40:40" ht="15.75" customHeight="1" x14ac:dyDescent="0.3">
      <c r="AN174" s="11"/>
    </row>
    <row r="175" spans="40:40" ht="15.75" customHeight="1" x14ac:dyDescent="0.3">
      <c r="AN175" s="11"/>
    </row>
    <row r="176" spans="40:40" ht="15.75" customHeight="1" x14ac:dyDescent="0.3">
      <c r="AN176" s="11"/>
    </row>
    <row r="177" spans="40:40" ht="15.75" customHeight="1" x14ac:dyDescent="0.3">
      <c r="AN177" s="11"/>
    </row>
    <row r="178" spans="40:40" ht="15.75" customHeight="1" x14ac:dyDescent="0.3">
      <c r="AN178" s="11"/>
    </row>
    <row r="179" spans="40:40" ht="15.75" customHeight="1" x14ac:dyDescent="0.3">
      <c r="AN179" s="11"/>
    </row>
    <row r="180" spans="40:40" ht="15.75" customHeight="1" x14ac:dyDescent="0.3">
      <c r="AN180" s="11"/>
    </row>
    <row r="181" spans="40:40" ht="15.75" customHeight="1" x14ac:dyDescent="0.3">
      <c r="AN181" s="11"/>
    </row>
    <row r="182" spans="40:40" ht="15.75" customHeight="1" x14ac:dyDescent="0.3">
      <c r="AN182" s="11"/>
    </row>
    <row r="183" spans="40:40" ht="15.75" customHeight="1" x14ac:dyDescent="0.3">
      <c r="AN183" s="11"/>
    </row>
    <row r="184" spans="40:40" ht="15.75" customHeight="1" x14ac:dyDescent="0.3">
      <c r="AN184" s="11"/>
    </row>
    <row r="185" spans="40:40" ht="15.75" customHeight="1" x14ac:dyDescent="0.3">
      <c r="AN185" s="11"/>
    </row>
    <row r="186" spans="40:40" ht="15.75" customHeight="1" x14ac:dyDescent="0.3">
      <c r="AN186" s="11"/>
    </row>
    <row r="187" spans="40:40" ht="15.75" customHeight="1" x14ac:dyDescent="0.3">
      <c r="AN187" s="11"/>
    </row>
    <row r="188" spans="40:40" ht="15.75" customHeight="1" x14ac:dyDescent="0.3">
      <c r="AN188" s="11"/>
    </row>
    <row r="189" spans="40:40" ht="15.75" customHeight="1" x14ac:dyDescent="0.3">
      <c r="AN189" s="11"/>
    </row>
    <row r="190" spans="40:40" ht="15.75" customHeight="1" x14ac:dyDescent="0.3">
      <c r="AN190" s="11"/>
    </row>
    <row r="191" spans="40:40" ht="15.75" customHeight="1" x14ac:dyDescent="0.3">
      <c r="AN191" s="11"/>
    </row>
    <row r="192" spans="40:40" ht="15.75" customHeight="1" x14ac:dyDescent="0.3">
      <c r="AN192" s="11"/>
    </row>
    <row r="193" spans="40:40" ht="15.75" customHeight="1" x14ac:dyDescent="0.3">
      <c r="AN193" s="11"/>
    </row>
    <row r="194" spans="40:40" ht="15.75" customHeight="1" x14ac:dyDescent="0.3">
      <c r="AN194" s="11"/>
    </row>
    <row r="195" spans="40:40" ht="15.75" customHeight="1" x14ac:dyDescent="0.3">
      <c r="AN195" s="11"/>
    </row>
    <row r="196" spans="40:40" ht="15.75" customHeight="1" x14ac:dyDescent="0.3">
      <c r="AN196" s="11"/>
    </row>
    <row r="197" spans="40:40" ht="15.75" customHeight="1" x14ac:dyDescent="0.3">
      <c r="AN197" s="11"/>
    </row>
    <row r="198" spans="40:40" ht="15.75" customHeight="1" x14ac:dyDescent="0.3">
      <c r="AN198" s="11"/>
    </row>
    <row r="199" spans="40:40" ht="15.75" customHeight="1" x14ac:dyDescent="0.3">
      <c r="AN199" s="11"/>
    </row>
    <row r="200" spans="40:40" ht="15.75" customHeight="1" x14ac:dyDescent="0.3">
      <c r="AN200" s="11"/>
    </row>
    <row r="201" spans="40:40" ht="15.75" customHeight="1" x14ac:dyDescent="0.3">
      <c r="AN201" s="11"/>
    </row>
    <row r="202" spans="40:40" ht="15.75" customHeight="1" x14ac:dyDescent="0.3">
      <c r="AN202" s="11"/>
    </row>
    <row r="203" spans="40:40" ht="15.75" customHeight="1" x14ac:dyDescent="0.3">
      <c r="AN203" s="11"/>
    </row>
    <row r="204" spans="40:40" ht="15.75" customHeight="1" x14ac:dyDescent="0.3">
      <c r="AN204" s="11"/>
    </row>
    <row r="205" spans="40:40" ht="15.75" customHeight="1" x14ac:dyDescent="0.3">
      <c r="AN205" s="11"/>
    </row>
    <row r="206" spans="40:40" ht="15.75" customHeight="1" x14ac:dyDescent="0.3">
      <c r="AN206" s="11"/>
    </row>
    <row r="207" spans="40:40" ht="15.75" customHeight="1" x14ac:dyDescent="0.3">
      <c r="AN207" s="11"/>
    </row>
    <row r="208" spans="40:40" ht="15.75" customHeight="1" x14ac:dyDescent="0.3">
      <c r="AN208" s="11"/>
    </row>
    <row r="209" spans="40:40" ht="15.75" customHeight="1" x14ac:dyDescent="0.3">
      <c r="AN209" s="11"/>
    </row>
    <row r="210" spans="40:40" ht="15.75" customHeight="1" x14ac:dyDescent="0.3">
      <c r="AN210" s="11"/>
    </row>
    <row r="211" spans="40:40" ht="15.75" customHeight="1" x14ac:dyDescent="0.3">
      <c r="AN211" s="11"/>
    </row>
    <row r="212" spans="40:40" ht="15.75" customHeight="1" x14ac:dyDescent="0.3">
      <c r="AN212" s="11"/>
    </row>
    <row r="213" spans="40:40" ht="15.75" customHeight="1" x14ac:dyDescent="0.3">
      <c r="AN213" s="11"/>
    </row>
    <row r="214" spans="40:40" ht="15.75" customHeight="1" x14ac:dyDescent="0.3">
      <c r="AN214" s="11"/>
    </row>
    <row r="215" spans="40:40" ht="15.75" customHeight="1" x14ac:dyDescent="0.3">
      <c r="AN215" s="11"/>
    </row>
    <row r="216" spans="40:40" ht="15.75" customHeight="1" x14ac:dyDescent="0.3">
      <c r="AN216" s="11"/>
    </row>
    <row r="217" spans="40:40" ht="15.75" customHeight="1" x14ac:dyDescent="0.3">
      <c r="AN217" s="11"/>
    </row>
    <row r="218" spans="40:40" ht="15.75" customHeight="1" x14ac:dyDescent="0.3">
      <c r="AN218" s="11"/>
    </row>
    <row r="219" spans="40:40" ht="15.75" customHeight="1" x14ac:dyDescent="0.3">
      <c r="AN219" s="11"/>
    </row>
    <row r="220" spans="40:40" ht="15.75" customHeight="1" x14ac:dyDescent="0.3">
      <c r="AN220" s="11"/>
    </row>
    <row r="221" spans="40:40" ht="15.75" customHeight="1" x14ac:dyDescent="0.3">
      <c r="AN221" s="11"/>
    </row>
    <row r="222" spans="40:40" ht="15.75" customHeight="1" x14ac:dyDescent="0.3">
      <c r="AN222" s="11"/>
    </row>
    <row r="223" spans="40:40" ht="15.75" customHeight="1" x14ac:dyDescent="0.3">
      <c r="AN223" s="11"/>
    </row>
    <row r="224" spans="40:40" ht="15.75" customHeight="1" x14ac:dyDescent="0.3">
      <c r="AN224" s="11"/>
    </row>
    <row r="225" spans="40:40" ht="15.75" customHeight="1" x14ac:dyDescent="0.3">
      <c r="AN225" s="11"/>
    </row>
    <row r="226" spans="40:40" ht="15.75" customHeight="1" x14ac:dyDescent="0.3">
      <c r="AN226" s="11"/>
    </row>
    <row r="227" spans="40:40" ht="15.75" customHeight="1" x14ac:dyDescent="0.3">
      <c r="AN227" s="11"/>
    </row>
    <row r="228" spans="40:40" ht="15.75" customHeight="1" x14ac:dyDescent="0.3">
      <c r="AN228" s="11"/>
    </row>
    <row r="229" spans="40:40" ht="15.75" customHeight="1" x14ac:dyDescent="0.3">
      <c r="AN229" s="11"/>
    </row>
    <row r="230" spans="40:40" ht="15.75" customHeight="1" x14ac:dyDescent="0.3">
      <c r="AN230" s="11"/>
    </row>
    <row r="231" spans="40:40" ht="15.75" customHeight="1" x14ac:dyDescent="0.3">
      <c r="AN231" s="11"/>
    </row>
    <row r="232" spans="40:40" ht="15.75" customHeight="1" x14ac:dyDescent="0.3">
      <c r="AN232" s="11"/>
    </row>
    <row r="233" spans="40:40" ht="15.75" customHeight="1" x14ac:dyDescent="0.3">
      <c r="AN233" s="11"/>
    </row>
    <row r="234" spans="40:40" ht="15.75" customHeight="1" x14ac:dyDescent="0.3">
      <c r="AN234" s="11"/>
    </row>
    <row r="235" spans="40:40" ht="15.75" customHeight="1" x14ac:dyDescent="0.3">
      <c r="AN235" s="11"/>
    </row>
    <row r="236" spans="40:40" ht="15.75" customHeight="1" x14ac:dyDescent="0.3">
      <c r="AN236" s="11"/>
    </row>
    <row r="237" spans="40:40" ht="15.75" customHeight="1" x14ac:dyDescent="0.3">
      <c r="AN237" s="11"/>
    </row>
    <row r="238" spans="40:40" ht="15.75" customHeight="1" x14ac:dyDescent="0.3">
      <c r="AN238" s="11"/>
    </row>
    <row r="239" spans="40:40" ht="15.75" customHeight="1" x14ac:dyDescent="0.3">
      <c r="AN239" s="11"/>
    </row>
    <row r="240" spans="40:40" ht="15.75" customHeight="1" x14ac:dyDescent="0.3">
      <c r="AN240" s="11"/>
    </row>
    <row r="241" spans="40:40" ht="15.75" customHeight="1" x14ac:dyDescent="0.3">
      <c r="AN241" s="11"/>
    </row>
    <row r="242" spans="40:40" ht="15.75" customHeight="1" x14ac:dyDescent="0.3">
      <c r="AN242" s="11"/>
    </row>
    <row r="243" spans="40:40" ht="15.75" customHeight="1" x14ac:dyDescent="0.3">
      <c r="AN243" s="11"/>
    </row>
    <row r="244" spans="40:40" ht="15.75" customHeight="1" x14ac:dyDescent="0.3">
      <c r="AN244" s="11"/>
    </row>
    <row r="245" spans="40:40" ht="15.75" customHeight="1" x14ac:dyDescent="0.3">
      <c r="AN245" s="11"/>
    </row>
    <row r="246" spans="40:40" ht="15.75" customHeight="1" x14ac:dyDescent="0.3">
      <c r="AN246" s="11"/>
    </row>
    <row r="247" spans="40:40" ht="15.75" customHeight="1" x14ac:dyDescent="0.3">
      <c r="AN247" s="11"/>
    </row>
    <row r="248" spans="40:40" ht="15.75" customHeight="1" x14ac:dyDescent="0.3">
      <c r="AN248" s="11"/>
    </row>
    <row r="249" spans="40:40" ht="15.75" customHeight="1" x14ac:dyDescent="0.3">
      <c r="AN249" s="11"/>
    </row>
    <row r="250" spans="40:40" ht="15.75" customHeight="1" x14ac:dyDescent="0.3">
      <c r="AN250" s="11"/>
    </row>
    <row r="251" spans="40:40" ht="15.75" customHeight="1" x14ac:dyDescent="0.3">
      <c r="AN251" s="11"/>
    </row>
    <row r="252" spans="40:40" ht="15.75" customHeight="1" x14ac:dyDescent="0.3">
      <c r="AN252" s="11"/>
    </row>
    <row r="253" spans="40:40" ht="15.75" customHeight="1" x14ac:dyDescent="0.3">
      <c r="AN253" s="11"/>
    </row>
    <row r="254" spans="40:40" ht="15.75" customHeight="1" x14ac:dyDescent="0.3">
      <c r="AN254" s="11"/>
    </row>
    <row r="255" spans="40:40" ht="15.75" customHeight="1" x14ac:dyDescent="0.3">
      <c r="AN255" s="11"/>
    </row>
    <row r="256" spans="40:40" ht="15.75" customHeight="1" x14ac:dyDescent="0.3">
      <c r="AN256" s="11"/>
    </row>
    <row r="257" spans="40:40" ht="15.75" customHeight="1" x14ac:dyDescent="0.3">
      <c r="AN257" s="11"/>
    </row>
    <row r="258" spans="40:40" ht="15.75" customHeight="1" x14ac:dyDescent="0.3">
      <c r="AN258" s="11"/>
    </row>
    <row r="259" spans="40:40" ht="15.75" customHeight="1" x14ac:dyDescent="0.3">
      <c r="AN259" s="11"/>
    </row>
    <row r="260" spans="40:40" ht="15.75" customHeight="1" x14ac:dyDescent="0.3">
      <c r="AN260" s="11"/>
    </row>
    <row r="261" spans="40:40" ht="15.75" customHeight="1" x14ac:dyDescent="0.3">
      <c r="AN261" s="11"/>
    </row>
    <row r="262" spans="40:40" ht="15.75" customHeight="1" x14ac:dyDescent="0.3">
      <c r="AN262" s="11"/>
    </row>
    <row r="263" spans="40:40" ht="15.75" customHeight="1" x14ac:dyDescent="0.3">
      <c r="AN263" s="11"/>
    </row>
    <row r="264" spans="40:40" ht="15.75" customHeight="1" x14ac:dyDescent="0.3">
      <c r="AN264" s="11"/>
    </row>
    <row r="265" spans="40:40" ht="15.75" customHeight="1" x14ac:dyDescent="0.3">
      <c r="AN265" s="11"/>
    </row>
    <row r="266" spans="40:40" ht="15.75" customHeight="1" x14ac:dyDescent="0.3">
      <c r="AN266" s="11"/>
    </row>
    <row r="267" spans="40:40" ht="15.75" customHeight="1" x14ac:dyDescent="0.3">
      <c r="AN267" s="11"/>
    </row>
    <row r="268" spans="40:40" ht="15.75" customHeight="1" x14ac:dyDescent="0.3">
      <c r="AN268" s="11"/>
    </row>
    <row r="269" spans="40:40" ht="15.75" customHeight="1" x14ac:dyDescent="0.3">
      <c r="AN269" s="11"/>
    </row>
    <row r="270" spans="40:40" ht="15.75" customHeight="1" x14ac:dyDescent="0.3">
      <c r="AN270" s="11"/>
    </row>
    <row r="271" spans="40:40" ht="15.75" customHeight="1" x14ac:dyDescent="0.3">
      <c r="AN271" s="11"/>
    </row>
    <row r="272" spans="40:40" ht="15.75" customHeight="1" x14ac:dyDescent="0.3">
      <c r="AN272" s="11"/>
    </row>
    <row r="273" spans="40:40" ht="15.75" customHeight="1" x14ac:dyDescent="0.3">
      <c r="AN273" s="11"/>
    </row>
    <row r="274" spans="40:40" ht="15.75" customHeight="1" x14ac:dyDescent="0.3">
      <c r="AN274" s="11"/>
    </row>
    <row r="275" spans="40:40" ht="15.75" customHeight="1" x14ac:dyDescent="0.3">
      <c r="AN275" s="11"/>
    </row>
    <row r="276" spans="40:40" ht="15.75" customHeight="1" x14ac:dyDescent="0.3">
      <c r="AN276" s="11"/>
    </row>
    <row r="277" spans="40:40" ht="15.75" customHeight="1" x14ac:dyDescent="0.3">
      <c r="AN277" s="11"/>
    </row>
    <row r="278" spans="40:40" ht="15.75" customHeight="1" x14ac:dyDescent="0.3">
      <c r="AN278" s="11"/>
    </row>
    <row r="279" spans="40:40" ht="15.75" customHeight="1" x14ac:dyDescent="0.3">
      <c r="AN279" s="11"/>
    </row>
    <row r="280" spans="40:40" ht="15.75" customHeight="1" x14ac:dyDescent="0.3">
      <c r="AN280" s="11"/>
    </row>
    <row r="281" spans="40:40" ht="15.75" customHeight="1" x14ac:dyDescent="0.3">
      <c r="AN281" s="11"/>
    </row>
    <row r="282" spans="40:40" ht="15.75" customHeight="1" x14ac:dyDescent="0.3">
      <c r="AN282" s="11"/>
    </row>
    <row r="283" spans="40:40" ht="15.75" customHeight="1" x14ac:dyDescent="0.3">
      <c r="AN283" s="11"/>
    </row>
    <row r="284" spans="40:40" ht="15.75" customHeight="1" x14ac:dyDescent="0.3">
      <c r="AN284" s="11"/>
    </row>
    <row r="285" spans="40:40" ht="15.75" customHeight="1" x14ac:dyDescent="0.3">
      <c r="AN285" s="11"/>
    </row>
    <row r="286" spans="40:40" ht="15.75" customHeight="1" x14ac:dyDescent="0.3">
      <c r="AN286" s="11"/>
    </row>
    <row r="287" spans="40:40" ht="15.75" customHeight="1" x14ac:dyDescent="0.3">
      <c r="AN287" s="11"/>
    </row>
    <row r="288" spans="40:40" ht="15.75" customHeight="1" x14ac:dyDescent="0.3">
      <c r="AN288" s="11"/>
    </row>
    <row r="289" spans="40:40" ht="15.75" customHeight="1" x14ac:dyDescent="0.3">
      <c r="AN289" s="11"/>
    </row>
    <row r="290" spans="40:40" ht="15.75" customHeight="1" x14ac:dyDescent="0.3">
      <c r="AN290" s="11"/>
    </row>
    <row r="291" spans="40:40" ht="15.75" customHeight="1" x14ac:dyDescent="0.3">
      <c r="AN291" s="11"/>
    </row>
    <row r="292" spans="40:40" ht="15.75" customHeight="1" x14ac:dyDescent="0.3">
      <c r="AN292" s="11"/>
    </row>
    <row r="293" spans="40:40" ht="15.75" customHeight="1" x14ac:dyDescent="0.3">
      <c r="AN293" s="11"/>
    </row>
    <row r="294" spans="40:40" ht="15.75" customHeight="1" x14ac:dyDescent="0.3">
      <c r="AN294" s="11"/>
    </row>
    <row r="295" spans="40:40" ht="15.75" customHeight="1" x14ac:dyDescent="0.3">
      <c r="AN295" s="11"/>
    </row>
    <row r="296" spans="40:40" ht="15.75" customHeight="1" x14ac:dyDescent="0.3">
      <c r="AN296" s="11"/>
    </row>
    <row r="297" spans="40:40" ht="15.75" customHeight="1" x14ac:dyDescent="0.3">
      <c r="AN297" s="11"/>
    </row>
    <row r="298" spans="40:40" ht="15.75" customHeight="1" x14ac:dyDescent="0.3">
      <c r="AN298" s="11"/>
    </row>
    <row r="299" spans="40:40" ht="15.75" customHeight="1" x14ac:dyDescent="0.3">
      <c r="AN299" s="11"/>
    </row>
    <row r="300" spans="40:40" ht="15.75" customHeight="1" x14ac:dyDescent="0.3">
      <c r="AN300" s="11"/>
    </row>
    <row r="301" spans="40:40" ht="15.75" customHeight="1" x14ac:dyDescent="0.3">
      <c r="AN301" s="11"/>
    </row>
    <row r="302" spans="40:40" ht="15.75" customHeight="1" x14ac:dyDescent="0.3">
      <c r="AN302" s="11"/>
    </row>
    <row r="303" spans="40:40" ht="15.75" customHeight="1" x14ac:dyDescent="0.3">
      <c r="AN303" s="11"/>
    </row>
    <row r="304" spans="40:40" ht="15.75" customHeight="1" x14ac:dyDescent="0.3">
      <c r="AN304" s="11"/>
    </row>
    <row r="305" spans="40:40" ht="15.75" customHeight="1" x14ac:dyDescent="0.3">
      <c r="AN305" s="11"/>
    </row>
    <row r="306" spans="40:40" ht="15.75" customHeight="1" x14ac:dyDescent="0.3">
      <c r="AN306" s="11"/>
    </row>
    <row r="307" spans="40:40" ht="15.75" customHeight="1" x14ac:dyDescent="0.3">
      <c r="AN307" s="11"/>
    </row>
    <row r="308" spans="40:40" ht="15.75" customHeight="1" x14ac:dyDescent="0.3">
      <c r="AN308" s="11"/>
    </row>
    <row r="309" spans="40:40" ht="15.75" customHeight="1" x14ac:dyDescent="0.3">
      <c r="AN309" s="11"/>
    </row>
    <row r="310" spans="40:40" ht="15.75" customHeight="1" x14ac:dyDescent="0.3">
      <c r="AN310" s="11"/>
    </row>
    <row r="311" spans="40:40" ht="15.75" customHeight="1" x14ac:dyDescent="0.3">
      <c r="AN311" s="11"/>
    </row>
    <row r="312" spans="40:40" ht="15.75" customHeight="1" x14ac:dyDescent="0.3">
      <c r="AN312" s="11"/>
    </row>
    <row r="313" spans="40:40" ht="15.75" customHeight="1" x14ac:dyDescent="0.3">
      <c r="AN313" s="11"/>
    </row>
    <row r="314" spans="40:40" ht="15.75" customHeight="1" x14ac:dyDescent="0.3">
      <c r="AN314" s="11"/>
    </row>
    <row r="315" spans="40:40" ht="15.75" customHeight="1" x14ac:dyDescent="0.3">
      <c r="AN315" s="11"/>
    </row>
    <row r="316" spans="40:40" ht="15.75" customHeight="1" x14ac:dyDescent="0.3">
      <c r="AN316" s="11"/>
    </row>
    <row r="317" spans="40:40" ht="15.75" customHeight="1" x14ac:dyDescent="0.3">
      <c r="AN317" s="11"/>
    </row>
    <row r="318" spans="40:40" ht="15.75" customHeight="1" x14ac:dyDescent="0.3">
      <c r="AN318" s="11"/>
    </row>
    <row r="319" spans="40:40" ht="15.75" customHeight="1" x14ac:dyDescent="0.3">
      <c r="AN319" s="11"/>
    </row>
    <row r="320" spans="40:40" ht="15.75" customHeight="1" x14ac:dyDescent="0.3">
      <c r="AN320" s="11"/>
    </row>
    <row r="321" spans="40:40" ht="15.75" customHeight="1" x14ac:dyDescent="0.3">
      <c r="AN321" s="11"/>
    </row>
    <row r="322" spans="40:40" ht="15.75" customHeight="1" x14ac:dyDescent="0.3">
      <c r="AN322" s="11"/>
    </row>
    <row r="323" spans="40:40" ht="15.75" customHeight="1" x14ac:dyDescent="0.3">
      <c r="AN323" s="11"/>
    </row>
    <row r="324" spans="40:40" ht="15.75" customHeight="1" x14ac:dyDescent="0.3">
      <c r="AN324" s="11"/>
    </row>
    <row r="325" spans="40:40" ht="15.75" customHeight="1" x14ac:dyDescent="0.3">
      <c r="AN325" s="11"/>
    </row>
    <row r="326" spans="40:40" ht="15.75" customHeight="1" x14ac:dyDescent="0.3">
      <c r="AN326" s="11"/>
    </row>
    <row r="327" spans="40:40" ht="15.75" customHeight="1" x14ac:dyDescent="0.3">
      <c r="AN327" s="11"/>
    </row>
    <row r="328" spans="40:40" ht="15.75" customHeight="1" x14ac:dyDescent="0.3">
      <c r="AN328" s="11"/>
    </row>
    <row r="329" spans="40:40" ht="15.75" customHeight="1" x14ac:dyDescent="0.3">
      <c r="AN329" s="11"/>
    </row>
    <row r="330" spans="40:40" ht="15.75" customHeight="1" x14ac:dyDescent="0.3">
      <c r="AN330" s="11"/>
    </row>
    <row r="331" spans="40:40" ht="15.75" customHeight="1" x14ac:dyDescent="0.3">
      <c r="AN331" s="11"/>
    </row>
    <row r="332" spans="40:40" ht="15.75" customHeight="1" x14ac:dyDescent="0.3">
      <c r="AN332" s="11"/>
    </row>
    <row r="333" spans="40:40" ht="15.75" customHeight="1" x14ac:dyDescent="0.3">
      <c r="AN333" s="11"/>
    </row>
    <row r="334" spans="40:40" ht="15.75" customHeight="1" x14ac:dyDescent="0.3">
      <c r="AN334" s="11"/>
    </row>
    <row r="335" spans="40:40" ht="15.75" customHeight="1" x14ac:dyDescent="0.3">
      <c r="AN335" s="11"/>
    </row>
    <row r="336" spans="40:40" ht="15.75" customHeight="1" x14ac:dyDescent="0.3">
      <c r="AN336" s="11"/>
    </row>
    <row r="337" spans="40:40" ht="15.75" customHeight="1" x14ac:dyDescent="0.3">
      <c r="AN337" s="11"/>
    </row>
    <row r="338" spans="40:40" ht="15.75" customHeight="1" x14ac:dyDescent="0.3">
      <c r="AN338" s="11"/>
    </row>
    <row r="339" spans="40:40" ht="15.75" customHeight="1" x14ac:dyDescent="0.3">
      <c r="AN339" s="11"/>
    </row>
    <row r="340" spans="40:40" ht="15.75" customHeight="1" x14ac:dyDescent="0.3">
      <c r="AN340" s="11"/>
    </row>
    <row r="341" spans="40:40" ht="15.75" customHeight="1" x14ac:dyDescent="0.3">
      <c r="AN341" s="11"/>
    </row>
    <row r="342" spans="40:40" ht="15.75" customHeight="1" x14ac:dyDescent="0.3">
      <c r="AN342" s="11"/>
    </row>
    <row r="343" spans="40:40" ht="15.75" customHeight="1" x14ac:dyDescent="0.3">
      <c r="AN343" s="11"/>
    </row>
    <row r="344" spans="40:40" ht="15.75" customHeight="1" x14ac:dyDescent="0.3">
      <c r="AN344" s="11"/>
    </row>
    <row r="345" spans="40:40" ht="15.75" customHeight="1" x14ac:dyDescent="0.3">
      <c r="AN345" s="11"/>
    </row>
    <row r="346" spans="40:40" ht="15.75" customHeight="1" x14ac:dyDescent="0.3">
      <c r="AN346" s="11"/>
    </row>
    <row r="347" spans="40:40" ht="15.75" customHeight="1" x14ac:dyDescent="0.3">
      <c r="AN347" s="11"/>
    </row>
    <row r="348" spans="40:40" ht="15.75" customHeight="1" x14ac:dyDescent="0.3">
      <c r="AN348" s="11"/>
    </row>
    <row r="349" spans="40:40" ht="15.75" customHeight="1" x14ac:dyDescent="0.3">
      <c r="AN349" s="11"/>
    </row>
    <row r="350" spans="40:40" ht="15.75" customHeight="1" x14ac:dyDescent="0.3">
      <c r="AN350" s="11"/>
    </row>
    <row r="351" spans="40:40" ht="15.75" customHeight="1" x14ac:dyDescent="0.3">
      <c r="AN351" s="11"/>
    </row>
    <row r="352" spans="40:40" ht="15.75" customHeight="1" x14ac:dyDescent="0.3">
      <c r="AN352" s="11"/>
    </row>
    <row r="353" spans="40:40" ht="15.75" customHeight="1" x14ac:dyDescent="0.3">
      <c r="AN353" s="11"/>
    </row>
    <row r="354" spans="40:40" ht="15.75" customHeight="1" x14ac:dyDescent="0.3">
      <c r="AN354" s="11"/>
    </row>
    <row r="355" spans="40:40" ht="15.75" customHeight="1" x14ac:dyDescent="0.3">
      <c r="AN355" s="11"/>
    </row>
    <row r="356" spans="40:40" ht="15.75" customHeight="1" x14ac:dyDescent="0.3">
      <c r="AN356" s="11"/>
    </row>
    <row r="357" spans="40:40" ht="15.75" customHeight="1" x14ac:dyDescent="0.3">
      <c r="AN357" s="11"/>
    </row>
    <row r="358" spans="40:40" ht="15.75" customHeight="1" x14ac:dyDescent="0.3">
      <c r="AN358" s="11"/>
    </row>
    <row r="359" spans="40:40" ht="15.75" customHeight="1" x14ac:dyDescent="0.3">
      <c r="AN359" s="11"/>
    </row>
    <row r="360" spans="40:40" ht="15.75" customHeight="1" x14ac:dyDescent="0.3">
      <c r="AN360" s="11"/>
    </row>
    <row r="361" spans="40:40" ht="15.75" customHeight="1" x14ac:dyDescent="0.3">
      <c r="AN361" s="11"/>
    </row>
    <row r="362" spans="40:40" ht="15.75" customHeight="1" x14ac:dyDescent="0.3">
      <c r="AN362" s="11"/>
    </row>
    <row r="363" spans="40:40" ht="15.75" customHeight="1" x14ac:dyDescent="0.3">
      <c r="AN363" s="11"/>
    </row>
    <row r="364" spans="40:40" ht="15.75" customHeight="1" x14ac:dyDescent="0.3">
      <c r="AN364" s="11"/>
    </row>
    <row r="365" spans="40:40" ht="15.75" customHeight="1" x14ac:dyDescent="0.3">
      <c r="AN365" s="11"/>
    </row>
    <row r="366" spans="40:40" ht="15.75" customHeight="1" x14ac:dyDescent="0.3">
      <c r="AN366" s="11"/>
    </row>
    <row r="367" spans="40:40" ht="15.75" customHeight="1" x14ac:dyDescent="0.3">
      <c r="AN367" s="11"/>
    </row>
    <row r="368" spans="40:40" ht="15.75" customHeight="1" x14ac:dyDescent="0.3">
      <c r="AN368" s="11"/>
    </row>
    <row r="369" spans="40:40" ht="15.75" customHeight="1" x14ac:dyDescent="0.3">
      <c r="AN369" s="11"/>
    </row>
    <row r="370" spans="40:40" ht="15.75" customHeight="1" x14ac:dyDescent="0.3">
      <c r="AN370" s="11"/>
    </row>
    <row r="371" spans="40:40" ht="15.75" customHeight="1" x14ac:dyDescent="0.3">
      <c r="AN371" s="11"/>
    </row>
    <row r="372" spans="40:40" ht="15.75" customHeight="1" x14ac:dyDescent="0.3">
      <c r="AN372" s="11"/>
    </row>
    <row r="373" spans="40:40" ht="15.75" customHeight="1" x14ac:dyDescent="0.3">
      <c r="AN373" s="11"/>
    </row>
    <row r="374" spans="40:40" ht="15.75" customHeight="1" x14ac:dyDescent="0.3">
      <c r="AN374" s="11"/>
    </row>
    <row r="375" spans="40:40" ht="15.75" customHeight="1" x14ac:dyDescent="0.3">
      <c r="AN375" s="11"/>
    </row>
    <row r="376" spans="40:40" ht="15.75" customHeight="1" x14ac:dyDescent="0.3">
      <c r="AN376" s="11"/>
    </row>
    <row r="377" spans="40:40" ht="15.75" customHeight="1" x14ac:dyDescent="0.3">
      <c r="AN377" s="11"/>
    </row>
    <row r="378" spans="40:40" ht="15.75" customHeight="1" x14ac:dyDescent="0.3">
      <c r="AN378" s="11"/>
    </row>
    <row r="379" spans="40:40" ht="15.75" customHeight="1" x14ac:dyDescent="0.3">
      <c r="AN379" s="11"/>
    </row>
    <row r="380" spans="40:40" ht="15.75" customHeight="1" x14ac:dyDescent="0.3">
      <c r="AN380" s="11"/>
    </row>
    <row r="381" spans="40:40" ht="15.75" customHeight="1" x14ac:dyDescent="0.3">
      <c r="AN381" s="11"/>
    </row>
    <row r="382" spans="40:40" ht="15.75" customHeight="1" x14ac:dyDescent="0.3">
      <c r="AN382" s="11"/>
    </row>
    <row r="383" spans="40:40" ht="15.75" customHeight="1" x14ac:dyDescent="0.3">
      <c r="AN383" s="11"/>
    </row>
    <row r="384" spans="40:40" ht="15.75" customHeight="1" x14ac:dyDescent="0.3">
      <c r="AN384" s="11"/>
    </row>
    <row r="385" spans="40:40" ht="15.75" customHeight="1" x14ac:dyDescent="0.3">
      <c r="AN385" s="11"/>
    </row>
    <row r="386" spans="40:40" ht="15.75" customHeight="1" x14ac:dyDescent="0.3">
      <c r="AN386" s="11"/>
    </row>
    <row r="387" spans="40:40" ht="15.75" customHeight="1" x14ac:dyDescent="0.3">
      <c r="AN387" s="11"/>
    </row>
    <row r="388" spans="40:40" ht="15.75" customHeight="1" x14ac:dyDescent="0.3">
      <c r="AN388" s="11"/>
    </row>
    <row r="389" spans="40:40" ht="15.75" customHeight="1" x14ac:dyDescent="0.3">
      <c r="AN389" s="11"/>
    </row>
    <row r="390" spans="40:40" ht="15.75" customHeight="1" x14ac:dyDescent="0.3">
      <c r="AN390" s="11"/>
    </row>
    <row r="391" spans="40:40" ht="15.75" customHeight="1" x14ac:dyDescent="0.3">
      <c r="AN391" s="11"/>
    </row>
    <row r="392" spans="40:40" ht="15.75" customHeight="1" x14ac:dyDescent="0.3">
      <c r="AN392" s="11"/>
    </row>
    <row r="393" spans="40:40" ht="15.75" customHeight="1" x14ac:dyDescent="0.3">
      <c r="AN393" s="11"/>
    </row>
    <row r="394" spans="40:40" ht="15.75" customHeight="1" x14ac:dyDescent="0.3">
      <c r="AN394" s="11"/>
    </row>
    <row r="395" spans="40:40" ht="15.75" customHeight="1" x14ac:dyDescent="0.3">
      <c r="AN395" s="11"/>
    </row>
    <row r="396" spans="40:40" ht="15.75" customHeight="1" x14ac:dyDescent="0.3">
      <c r="AN396" s="11"/>
    </row>
    <row r="397" spans="40:40" ht="15.75" customHeight="1" x14ac:dyDescent="0.3">
      <c r="AN397" s="11"/>
    </row>
    <row r="398" spans="40:40" ht="15.75" customHeight="1" x14ac:dyDescent="0.3">
      <c r="AN398" s="11"/>
    </row>
    <row r="399" spans="40:40" ht="15.75" customHeight="1" x14ac:dyDescent="0.3">
      <c r="AN399" s="11"/>
    </row>
    <row r="400" spans="40:40" ht="15.75" customHeight="1" x14ac:dyDescent="0.3">
      <c r="AN400" s="11"/>
    </row>
    <row r="401" spans="40:40" ht="15.75" customHeight="1" x14ac:dyDescent="0.3">
      <c r="AN401" s="11"/>
    </row>
    <row r="402" spans="40:40" ht="15.75" customHeight="1" x14ac:dyDescent="0.3">
      <c r="AN402" s="11"/>
    </row>
    <row r="403" spans="40:40" ht="15.75" customHeight="1" x14ac:dyDescent="0.3">
      <c r="AN403" s="11"/>
    </row>
    <row r="404" spans="40:40" ht="15.75" customHeight="1" x14ac:dyDescent="0.3">
      <c r="AN404" s="11"/>
    </row>
    <row r="405" spans="40:40" ht="15.75" customHeight="1" x14ac:dyDescent="0.3">
      <c r="AN405" s="11"/>
    </row>
    <row r="406" spans="40:40" ht="15.75" customHeight="1" x14ac:dyDescent="0.3">
      <c r="AN406" s="11"/>
    </row>
    <row r="407" spans="40:40" ht="15.75" customHeight="1" x14ac:dyDescent="0.3">
      <c r="AN407" s="11"/>
    </row>
    <row r="408" spans="40:40" ht="15.75" customHeight="1" x14ac:dyDescent="0.3">
      <c r="AN408" s="11"/>
    </row>
    <row r="409" spans="40:40" ht="15.75" customHeight="1" x14ac:dyDescent="0.3">
      <c r="AN409" s="11"/>
    </row>
    <row r="410" spans="40:40" ht="15.75" customHeight="1" x14ac:dyDescent="0.3">
      <c r="AN410" s="11"/>
    </row>
    <row r="411" spans="40:40" ht="15.75" customHeight="1" x14ac:dyDescent="0.3">
      <c r="AN411" s="11"/>
    </row>
    <row r="412" spans="40:40" ht="15.75" customHeight="1" x14ac:dyDescent="0.3">
      <c r="AN412" s="11"/>
    </row>
    <row r="413" spans="40:40" ht="15.75" customHeight="1" x14ac:dyDescent="0.3">
      <c r="AN413" s="11"/>
    </row>
    <row r="414" spans="40:40" ht="15.75" customHeight="1" x14ac:dyDescent="0.3">
      <c r="AN414" s="11"/>
    </row>
    <row r="415" spans="40:40" ht="15.75" customHeight="1" x14ac:dyDescent="0.3">
      <c r="AN415" s="11"/>
    </row>
    <row r="416" spans="40:40" ht="15.75" customHeight="1" x14ac:dyDescent="0.3">
      <c r="AN416" s="11"/>
    </row>
    <row r="417" spans="40:40" ht="15.75" customHeight="1" x14ac:dyDescent="0.3">
      <c r="AN417" s="11"/>
    </row>
    <row r="418" spans="40:40" ht="15.75" customHeight="1" x14ac:dyDescent="0.3">
      <c r="AN418" s="11"/>
    </row>
    <row r="419" spans="40:40" ht="15.75" customHeight="1" x14ac:dyDescent="0.3">
      <c r="AN419" s="11"/>
    </row>
    <row r="420" spans="40:40" ht="15.75" customHeight="1" x14ac:dyDescent="0.3">
      <c r="AN420" s="11"/>
    </row>
    <row r="421" spans="40:40" ht="15.75" customHeight="1" x14ac:dyDescent="0.3">
      <c r="AN421" s="11"/>
    </row>
    <row r="422" spans="40:40" ht="15.75" customHeight="1" x14ac:dyDescent="0.3">
      <c r="AN422" s="11"/>
    </row>
    <row r="423" spans="40:40" ht="15.75" customHeight="1" x14ac:dyDescent="0.3">
      <c r="AN423" s="11"/>
    </row>
    <row r="424" spans="40:40" ht="15.75" customHeight="1" x14ac:dyDescent="0.3">
      <c r="AN424" s="11"/>
    </row>
    <row r="425" spans="40:40" ht="15.75" customHeight="1" x14ac:dyDescent="0.3">
      <c r="AN425" s="11"/>
    </row>
    <row r="426" spans="40:40" ht="15.75" customHeight="1" x14ac:dyDescent="0.3">
      <c r="AN426" s="11"/>
    </row>
    <row r="427" spans="40:40" ht="15.75" customHeight="1" x14ac:dyDescent="0.3">
      <c r="AN427" s="11"/>
    </row>
    <row r="428" spans="40:40" ht="15.75" customHeight="1" x14ac:dyDescent="0.3">
      <c r="AN428" s="11"/>
    </row>
    <row r="429" spans="40:40" ht="15.75" customHeight="1" x14ac:dyDescent="0.3">
      <c r="AN429" s="11"/>
    </row>
    <row r="430" spans="40:40" ht="15.75" customHeight="1" x14ac:dyDescent="0.3">
      <c r="AN430" s="11"/>
    </row>
    <row r="431" spans="40:40" ht="15.75" customHeight="1" x14ac:dyDescent="0.3">
      <c r="AN431" s="11"/>
    </row>
    <row r="432" spans="40:40" ht="15.75" customHeight="1" x14ac:dyDescent="0.3">
      <c r="AN432" s="11"/>
    </row>
    <row r="433" spans="40:40" ht="15.75" customHeight="1" x14ac:dyDescent="0.3">
      <c r="AN433" s="11"/>
    </row>
    <row r="434" spans="40:40" ht="15.75" customHeight="1" x14ac:dyDescent="0.3">
      <c r="AN434" s="11"/>
    </row>
    <row r="435" spans="40:40" ht="15.75" customHeight="1" x14ac:dyDescent="0.3">
      <c r="AN435" s="11"/>
    </row>
    <row r="436" spans="40:40" ht="15.75" customHeight="1" x14ac:dyDescent="0.3">
      <c r="AN436" s="11"/>
    </row>
    <row r="437" spans="40:40" ht="15.75" customHeight="1" x14ac:dyDescent="0.3">
      <c r="AN437" s="11"/>
    </row>
    <row r="438" spans="40:40" ht="15.75" customHeight="1" x14ac:dyDescent="0.3">
      <c r="AN438" s="11"/>
    </row>
    <row r="439" spans="40:40" ht="15.75" customHeight="1" x14ac:dyDescent="0.3">
      <c r="AN439" s="11"/>
    </row>
    <row r="440" spans="40:40" ht="15.75" customHeight="1" x14ac:dyDescent="0.3">
      <c r="AN440" s="11"/>
    </row>
    <row r="441" spans="40:40" ht="15.75" customHeight="1" x14ac:dyDescent="0.3">
      <c r="AN441" s="11"/>
    </row>
    <row r="442" spans="40:40" ht="15.75" customHeight="1" x14ac:dyDescent="0.3">
      <c r="AN442" s="11"/>
    </row>
    <row r="443" spans="40:40" ht="15.75" customHeight="1" x14ac:dyDescent="0.3">
      <c r="AN443" s="11"/>
    </row>
    <row r="444" spans="40:40" ht="15.75" customHeight="1" x14ac:dyDescent="0.3">
      <c r="AN444" s="11"/>
    </row>
    <row r="445" spans="40:40" ht="15.75" customHeight="1" x14ac:dyDescent="0.3">
      <c r="AN445" s="11"/>
    </row>
    <row r="446" spans="40:40" ht="15.75" customHeight="1" x14ac:dyDescent="0.3">
      <c r="AN446" s="11"/>
    </row>
    <row r="447" spans="40:40" ht="15.75" customHeight="1" x14ac:dyDescent="0.3">
      <c r="AN447" s="11"/>
    </row>
    <row r="448" spans="40:40" ht="15.75" customHeight="1" x14ac:dyDescent="0.3">
      <c r="AN448" s="11"/>
    </row>
    <row r="449" spans="40:40" ht="15.75" customHeight="1" x14ac:dyDescent="0.3">
      <c r="AN449" s="11"/>
    </row>
    <row r="450" spans="40:40" ht="15.75" customHeight="1" x14ac:dyDescent="0.3">
      <c r="AN450" s="11"/>
    </row>
    <row r="451" spans="40:40" ht="15.75" customHeight="1" x14ac:dyDescent="0.3">
      <c r="AN451" s="11"/>
    </row>
    <row r="452" spans="40:40" ht="15.75" customHeight="1" x14ac:dyDescent="0.3">
      <c r="AN452" s="11"/>
    </row>
    <row r="453" spans="40:40" ht="15.75" customHeight="1" x14ac:dyDescent="0.3">
      <c r="AN453" s="11"/>
    </row>
    <row r="454" spans="40:40" ht="15.75" customHeight="1" x14ac:dyDescent="0.3">
      <c r="AN454" s="11"/>
    </row>
    <row r="455" spans="40:40" ht="15.75" customHeight="1" x14ac:dyDescent="0.3">
      <c r="AN455" s="11"/>
    </row>
    <row r="456" spans="40:40" ht="15.75" customHeight="1" x14ac:dyDescent="0.3">
      <c r="AN456" s="11"/>
    </row>
    <row r="457" spans="40:40" ht="15.75" customHeight="1" x14ac:dyDescent="0.3">
      <c r="AN457" s="11"/>
    </row>
    <row r="458" spans="40:40" ht="15.75" customHeight="1" x14ac:dyDescent="0.3">
      <c r="AN458" s="11"/>
    </row>
    <row r="459" spans="40:40" ht="15.75" customHeight="1" x14ac:dyDescent="0.3">
      <c r="AN459" s="11"/>
    </row>
    <row r="460" spans="40:40" ht="15.75" customHeight="1" x14ac:dyDescent="0.3">
      <c r="AN460" s="11"/>
    </row>
    <row r="461" spans="40:40" ht="15.75" customHeight="1" x14ac:dyDescent="0.3">
      <c r="AN461" s="11"/>
    </row>
    <row r="462" spans="40:40" ht="15.75" customHeight="1" x14ac:dyDescent="0.3">
      <c r="AN462" s="11"/>
    </row>
    <row r="463" spans="40:40" ht="15.75" customHeight="1" x14ac:dyDescent="0.3">
      <c r="AN463" s="11"/>
    </row>
    <row r="464" spans="40:40" ht="15.75" customHeight="1" x14ac:dyDescent="0.3">
      <c r="AN464" s="11"/>
    </row>
    <row r="465" spans="40:40" ht="15.75" customHeight="1" x14ac:dyDescent="0.3">
      <c r="AN465" s="11"/>
    </row>
    <row r="466" spans="40:40" ht="15.75" customHeight="1" x14ac:dyDescent="0.3">
      <c r="AN466" s="11"/>
    </row>
    <row r="467" spans="40:40" ht="15.75" customHeight="1" x14ac:dyDescent="0.3">
      <c r="AN467" s="11"/>
    </row>
    <row r="468" spans="40:40" ht="15.75" customHeight="1" x14ac:dyDescent="0.3">
      <c r="AN468" s="11"/>
    </row>
    <row r="469" spans="40:40" ht="15.75" customHeight="1" x14ac:dyDescent="0.3">
      <c r="AN469" s="11"/>
    </row>
    <row r="470" spans="40:40" ht="15.75" customHeight="1" x14ac:dyDescent="0.3">
      <c r="AN470" s="11"/>
    </row>
    <row r="471" spans="40:40" ht="15.75" customHeight="1" x14ac:dyDescent="0.3">
      <c r="AN471" s="11"/>
    </row>
    <row r="472" spans="40:40" ht="15.75" customHeight="1" x14ac:dyDescent="0.3">
      <c r="AN472" s="11"/>
    </row>
    <row r="473" spans="40:40" ht="15.75" customHeight="1" x14ac:dyDescent="0.3">
      <c r="AN473" s="11"/>
    </row>
    <row r="474" spans="40:40" ht="15.75" customHeight="1" x14ac:dyDescent="0.3">
      <c r="AN474" s="11"/>
    </row>
    <row r="475" spans="40:40" ht="15.75" customHeight="1" x14ac:dyDescent="0.3">
      <c r="AN475" s="11"/>
    </row>
    <row r="476" spans="40:40" ht="15.75" customHeight="1" x14ac:dyDescent="0.3">
      <c r="AN476" s="11"/>
    </row>
    <row r="477" spans="40:40" ht="15.75" customHeight="1" x14ac:dyDescent="0.3">
      <c r="AN477" s="11"/>
    </row>
    <row r="478" spans="40:40" ht="15.75" customHeight="1" x14ac:dyDescent="0.3">
      <c r="AN478" s="11"/>
    </row>
    <row r="479" spans="40:40" ht="15.75" customHeight="1" x14ac:dyDescent="0.3">
      <c r="AN479" s="11"/>
    </row>
    <row r="480" spans="40:40" ht="15.75" customHeight="1" x14ac:dyDescent="0.3">
      <c r="AN480" s="11"/>
    </row>
    <row r="481" spans="40:40" ht="15.75" customHeight="1" x14ac:dyDescent="0.3">
      <c r="AN481" s="11"/>
    </row>
    <row r="482" spans="40:40" ht="15.75" customHeight="1" x14ac:dyDescent="0.3">
      <c r="AN482" s="11"/>
    </row>
    <row r="483" spans="40:40" ht="15.75" customHeight="1" x14ac:dyDescent="0.3">
      <c r="AN483" s="11"/>
    </row>
    <row r="484" spans="40:40" ht="15.75" customHeight="1" x14ac:dyDescent="0.3">
      <c r="AN484" s="11"/>
    </row>
    <row r="485" spans="40:40" ht="15.75" customHeight="1" x14ac:dyDescent="0.3">
      <c r="AN485" s="11"/>
    </row>
    <row r="486" spans="40:40" ht="15.75" customHeight="1" x14ac:dyDescent="0.3">
      <c r="AN486" s="11"/>
    </row>
    <row r="487" spans="40:40" ht="15.75" customHeight="1" x14ac:dyDescent="0.3">
      <c r="AN487" s="11"/>
    </row>
    <row r="488" spans="40:40" ht="15.75" customHeight="1" x14ac:dyDescent="0.3">
      <c r="AN488" s="11"/>
    </row>
    <row r="489" spans="40:40" ht="15.75" customHeight="1" x14ac:dyDescent="0.3">
      <c r="AN489" s="11"/>
    </row>
    <row r="490" spans="40:40" ht="15.75" customHeight="1" x14ac:dyDescent="0.3">
      <c r="AN490" s="11"/>
    </row>
    <row r="491" spans="40:40" ht="15.75" customHeight="1" x14ac:dyDescent="0.3">
      <c r="AN491" s="11"/>
    </row>
    <row r="492" spans="40:40" ht="15.75" customHeight="1" x14ac:dyDescent="0.3">
      <c r="AN492" s="11"/>
    </row>
    <row r="493" spans="40:40" ht="15.75" customHeight="1" x14ac:dyDescent="0.3">
      <c r="AN493" s="11"/>
    </row>
    <row r="494" spans="40:40" ht="15.75" customHeight="1" x14ac:dyDescent="0.3">
      <c r="AN494" s="11"/>
    </row>
    <row r="495" spans="40:40" ht="15.75" customHeight="1" x14ac:dyDescent="0.3">
      <c r="AN495" s="11"/>
    </row>
    <row r="496" spans="40:40" ht="15.75" customHeight="1" x14ac:dyDescent="0.3">
      <c r="AN496" s="11"/>
    </row>
    <row r="497" spans="40:40" ht="15.75" customHeight="1" x14ac:dyDescent="0.3">
      <c r="AN497" s="11"/>
    </row>
    <row r="498" spans="40:40" ht="15.75" customHeight="1" x14ac:dyDescent="0.3">
      <c r="AN498" s="11"/>
    </row>
    <row r="499" spans="40:40" ht="15.75" customHeight="1" x14ac:dyDescent="0.3">
      <c r="AN499" s="11"/>
    </row>
    <row r="500" spans="40:40" ht="15.75" customHeight="1" x14ac:dyDescent="0.3">
      <c r="AN500" s="11"/>
    </row>
    <row r="501" spans="40:40" ht="15.75" customHeight="1" x14ac:dyDescent="0.3">
      <c r="AN501" s="11"/>
    </row>
    <row r="502" spans="40:40" ht="15.75" customHeight="1" x14ac:dyDescent="0.3">
      <c r="AN502" s="11"/>
    </row>
    <row r="503" spans="40:40" ht="15.75" customHeight="1" x14ac:dyDescent="0.3">
      <c r="AN503" s="11"/>
    </row>
    <row r="504" spans="40:40" ht="15.75" customHeight="1" x14ac:dyDescent="0.3">
      <c r="AN504" s="11"/>
    </row>
    <row r="505" spans="40:40" ht="15.75" customHeight="1" x14ac:dyDescent="0.3">
      <c r="AN505" s="11"/>
    </row>
    <row r="506" spans="40:40" ht="15.75" customHeight="1" x14ac:dyDescent="0.3">
      <c r="AN506" s="11"/>
    </row>
    <row r="507" spans="40:40" ht="15.75" customHeight="1" x14ac:dyDescent="0.3">
      <c r="AN507" s="11"/>
    </row>
    <row r="508" spans="40:40" ht="15.75" customHeight="1" x14ac:dyDescent="0.3">
      <c r="AN508" s="11"/>
    </row>
    <row r="509" spans="40:40" ht="15.75" customHeight="1" x14ac:dyDescent="0.3">
      <c r="AN509" s="11"/>
    </row>
    <row r="510" spans="40:40" ht="15.75" customHeight="1" x14ac:dyDescent="0.3">
      <c r="AN510" s="11"/>
    </row>
    <row r="511" spans="40:40" ht="15.75" customHeight="1" x14ac:dyDescent="0.3">
      <c r="AN511" s="11"/>
    </row>
    <row r="512" spans="40:40" ht="15.75" customHeight="1" x14ac:dyDescent="0.3">
      <c r="AN512" s="11"/>
    </row>
    <row r="513" spans="40:40" ht="15.75" customHeight="1" x14ac:dyDescent="0.3">
      <c r="AN513" s="11"/>
    </row>
    <row r="514" spans="40:40" ht="15.75" customHeight="1" x14ac:dyDescent="0.3">
      <c r="AN514" s="11"/>
    </row>
    <row r="515" spans="40:40" ht="15.75" customHeight="1" x14ac:dyDescent="0.3">
      <c r="AN515" s="11"/>
    </row>
    <row r="516" spans="40:40" ht="15.75" customHeight="1" x14ac:dyDescent="0.3">
      <c r="AN516" s="11"/>
    </row>
    <row r="517" spans="40:40" ht="15.75" customHeight="1" x14ac:dyDescent="0.3">
      <c r="AN517" s="11"/>
    </row>
    <row r="518" spans="40:40" ht="15.75" customHeight="1" x14ac:dyDescent="0.3">
      <c r="AN518" s="11"/>
    </row>
    <row r="519" spans="40:40" ht="15.75" customHeight="1" x14ac:dyDescent="0.3">
      <c r="AN519" s="11"/>
    </row>
    <row r="520" spans="40:40" ht="15.75" customHeight="1" x14ac:dyDescent="0.3">
      <c r="AN520" s="11"/>
    </row>
    <row r="521" spans="40:40" ht="15.75" customHeight="1" x14ac:dyDescent="0.3">
      <c r="AN521" s="11"/>
    </row>
    <row r="522" spans="40:40" ht="15.75" customHeight="1" x14ac:dyDescent="0.3">
      <c r="AN522" s="11"/>
    </row>
    <row r="523" spans="40:40" ht="15.75" customHeight="1" x14ac:dyDescent="0.3">
      <c r="AN523" s="11"/>
    </row>
    <row r="524" spans="40:40" ht="15.75" customHeight="1" x14ac:dyDescent="0.3">
      <c r="AN524" s="11"/>
    </row>
    <row r="525" spans="40:40" ht="15.75" customHeight="1" x14ac:dyDescent="0.3">
      <c r="AN525" s="11"/>
    </row>
    <row r="526" spans="40:40" ht="15.75" customHeight="1" x14ac:dyDescent="0.3">
      <c r="AN526" s="11"/>
    </row>
    <row r="527" spans="40:40" ht="15.75" customHeight="1" x14ac:dyDescent="0.3">
      <c r="AN527" s="11"/>
    </row>
    <row r="528" spans="40:40" ht="15.75" customHeight="1" x14ac:dyDescent="0.3">
      <c r="AN528" s="11"/>
    </row>
    <row r="529" spans="40:40" ht="15.75" customHeight="1" x14ac:dyDescent="0.3">
      <c r="AN529" s="11"/>
    </row>
    <row r="530" spans="40:40" ht="15.75" customHeight="1" x14ac:dyDescent="0.3">
      <c r="AN530" s="11"/>
    </row>
    <row r="531" spans="40:40" ht="15.75" customHeight="1" x14ac:dyDescent="0.3">
      <c r="AN531" s="11"/>
    </row>
    <row r="532" spans="40:40" ht="15.75" customHeight="1" x14ac:dyDescent="0.3">
      <c r="AN532" s="11"/>
    </row>
    <row r="533" spans="40:40" ht="15.75" customHeight="1" x14ac:dyDescent="0.3">
      <c r="AN533" s="11"/>
    </row>
    <row r="534" spans="40:40" ht="15.75" customHeight="1" x14ac:dyDescent="0.3">
      <c r="AN534" s="11"/>
    </row>
    <row r="535" spans="40:40" ht="15.75" customHeight="1" x14ac:dyDescent="0.3">
      <c r="AN535" s="11"/>
    </row>
    <row r="536" spans="40:40" ht="15.75" customHeight="1" x14ac:dyDescent="0.3">
      <c r="AN536" s="11"/>
    </row>
    <row r="537" spans="40:40" ht="15.75" customHeight="1" x14ac:dyDescent="0.3">
      <c r="AN537" s="11"/>
    </row>
    <row r="538" spans="40:40" ht="15.75" customHeight="1" x14ac:dyDescent="0.3">
      <c r="AN538" s="11"/>
    </row>
    <row r="539" spans="40:40" ht="15.75" customHeight="1" x14ac:dyDescent="0.3">
      <c r="AN539" s="11"/>
    </row>
    <row r="540" spans="40:40" ht="15.75" customHeight="1" x14ac:dyDescent="0.3">
      <c r="AN540" s="11"/>
    </row>
    <row r="541" spans="40:40" ht="15.75" customHeight="1" x14ac:dyDescent="0.3">
      <c r="AN541" s="11"/>
    </row>
    <row r="542" spans="40:40" ht="15.75" customHeight="1" x14ac:dyDescent="0.3">
      <c r="AN542" s="11"/>
    </row>
    <row r="543" spans="40:40" ht="15.75" customHeight="1" x14ac:dyDescent="0.3">
      <c r="AN543" s="11"/>
    </row>
    <row r="544" spans="40:40" ht="15.75" customHeight="1" x14ac:dyDescent="0.3">
      <c r="AN544" s="11"/>
    </row>
    <row r="545" spans="40:40" ht="15.75" customHeight="1" x14ac:dyDescent="0.3">
      <c r="AN545" s="11"/>
    </row>
    <row r="546" spans="40:40" ht="15.75" customHeight="1" x14ac:dyDescent="0.3">
      <c r="AN546" s="11"/>
    </row>
    <row r="547" spans="40:40" ht="15.75" customHeight="1" x14ac:dyDescent="0.3">
      <c r="AN547" s="11"/>
    </row>
    <row r="548" spans="40:40" ht="15.75" customHeight="1" x14ac:dyDescent="0.3">
      <c r="AN548" s="11"/>
    </row>
    <row r="549" spans="40:40" ht="15.75" customHeight="1" x14ac:dyDescent="0.3">
      <c r="AN549" s="11"/>
    </row>
    <row r="550" spans="40:40" ht="15.75" customHeight="1" x14ac:dyDescent="0.3">
      <c r="AN550" s="11"/>
    </row>
    <row r="551" spans="40:40" ht="15.75" customHeight="1" x14ac:dyDescent="0.3">
      <c r="AN551" s="11"/>
    </row>
    <row r="552" spans="40:40" ht="15.75" customHeight="1" x14ac:dyDescent="0.3">
      <c r="AN552" s="11"/>
    </row>
    <row r="553" spans="40:40" ht="15.75" customHeight="1" x14ac:dyDescent="0.3">
      <c r="AN553" s="11"/>
    </row>
    <row r="554" spans="40:40" ht="15.75" customHeight="1" x14ac:dyDescent="0.3">
      <c r="AN554" s="11"/>
    </row>
    <row r="555" spans="40:40" ht="15.75" customHeight="1" x14ac:dyDescent="0.3">
      <c r="AN555" s="11"/>
    </row>
    <row r="556" spans="40:40" ht="15.75" customHeight="1" x14ac:dyDescent="0.3">
      <c r="AN556" s="11"/>
    </row>
    <row r="557" spans="40:40" ht="15.75" customHeight="1" x14ac:dyDescent="0.3">
      <c r="AN557" s="11"/>
    </row>
    <row r="558" spans="40:40" ht="15.75" customHeight="1" x14ac:dyDescent="0.3">
      <c r="AN558" s="11"/>
    </row>
    <row r="559" spans="40:40" ht="15.75" customHeight="1" x14ac:dyDescent="0.3">
      <c r="AN559" s="11"/>
    </row>
    <row r="560" spans="40:40" ht="15.75" customHeight="1" x14ac:dyDescent="0.3">
      <c r="AN560" s="11"/>
    </row>
    <row r="561" spans="40:40" ht="15.75" customHeight="1" x14ac:dyDescent="0.3">
      <c r="AN561" s="11"/>
    </row>
    <row r="562" spans="40:40" ht="15.75" customHeight="1" x14ac:dyDescent="0.3">
      <c r="AN562" s="11"/>
    </row>
    <row r="563" spans="40:40" ht="15.75" customHeight="1" x14ac:dyDescent="0.3">
      <c r="AN563" s="11"/>
    </row>
    <row r="564" spans="40:40" ht="15.75" customHeight="1" x14ac:dyDescent="0.3">
      <c r="AN564" s="11"/>
    </row>
    <row r="565" spans="40:40" ht="15.75" customHeight="1" x14ac:dyDescent="0.3">
      <c r="AN565" s="11"/>
    </row>
    <row r="566" spans="40:40" ht="15.75" customHeight="1" x14ac:dyDescent="0.3">
      <c r="AN566" s="11"/>
    </row>
    <row r="567" spans="40:40" ht="15.75" customHeight="1" x14ac:dyDescent="0.3">
      <c r="AN567" s="11"/>
    </row>
    <row r="568" spans="40:40" ht="15.75" customHeight="1" x14ac:dyDescent="0.3">
      <c r="AN568" s="11"/>
    </row>
    <row r="569" spans="40:40" ht="15.75" customHeight="1" x14ac:dyDescent="0.3">
      <c r="AN569" s="11"/>
    </row>
    <row r="570" spans="40:40" ht="15.75" customHeight="1" x14ac:dyDescent="0.3">
      <c r="AN570" s="11"/>
    </row>
    <row r="571" spans="40:40" ht="15.75" customHeight="1" x14ac:dyDescent="0.3">
      <c r="AN571" s="11"/>
    </row>
    <row r="572" spans="40:40" ht="15.75" customHeight="1" x14ac:dyDescent="0.3">
      <c r="AN572" s="11"/>
    </row>
    <row r="573" spans="40:40" ht="15.75" customHeight="1" x14ac:dyDescent="0.3">
      <c r="AN573" s="11"/>
    </row>
    <row r="574" spans="40:40" ht="15.75" customHeight="1" x14ac:dyDescent="0.3">
      <c r="AN574" s="11"/>
    </row>
    <row r="575" spans="40:40" ht="15.75" customHeight="1" x14ac:dyDescent="0.3">
      <c r="AN575" s="11"/>
    </row>
    <row r="576" spans="40:40" ht="15.75" customHeight="1" x14ac:dyDescent="0.3">
      <c r="AN576" s="11"/>
    </row>
    <row r="577" spans="40:40" ht="15.75" customHeight="1" x14ac:dyDescent="0.3">
      <c r="AN577" s="11"/>
    </row>
    <row r="578" spans="40:40" ht="15.75" customHeight="1" x14ac:dyDescent="0.3">
      <c r="AN578" s="11"/>
    </row>
    <row r="579" spans="40:40" ht="15.75" customHeight="1" x14ac:dyDescent="0.3">
      <c r="AN579" s="11"/>
    </row>
    <row r="580" spans="40:40" ht="15.75" customHeight="1" x14ac:dyDescent="0.3">
      <c r="AN580" s="11"/>
    </row>
    <row r="581" spans="40:40" ht="15.75" customHeight="1" x14ac:dyDescent="0.3">
      <c r="AN581" s="11"/>
    </row>
    <row r="582" spans="40:40" ht="15.75" customHeight="1" x14ac:dyDescent="0.3">
      <c r="AN582" s="11"/>
    </row>
    <row r="583" spans="40:40" ht="15.75" customHeight="1" x14ac:dyDescent="0.3">
      <c r="AN583" s="11"/>
    </row>
    <row r="584" spans="40:40" ht="15.75" customHeight="1" x14ac:dyDescent="0.3">
      <c r="AN584" s="11"/>
    </row>
    <row r="585" spans="40:40" ht="15.75" customHeight="1" x14ac:dyDescent="0.3">
      <c r="AN585" s="11"/>
    </row>
    <row r="586" spans="40:40" ht="15.75" customHeight="1" x14ac:dyDescent="0.3">
      <c r="AN586" s="11"/>
    </row>
    <row r="587" spans="40:40" ht="15.75" customHeight="1" x14ac:dyDescent="0.3">
      <c r="AN587" s="11"/>
    </row>
    <row r="588" spans="40:40" ht="15.75" customHeight="1" x14ac:dyDescent="0.3">
      <c r="AN588" s="11"/>
    </row>
    <row r="589" spans="40:40" ht="15.75" customHeight="1" x14ac:dyDescent="0.3">
      <c r="AN589" s="11"/>
    </row>
    <row r="590" spans="40:40" ht="15.75" customHeight="1" x14ac:dyDescent="0.3">
      <c r="AN590" s="11"/>
    </row>
    <row r="591" spans="40:40" ht="15.75" customHeight="1" x14ac:dyDescent="0.3">
      <c r="AN591" s="11"/>
    </row>
    <row r="592" spans="40:40" ht="15.75" customHeight="1" x14ac:dyDescent="0.3">
      <c r="AN592" s="11"/>
    </row>
    <row r="593" spans="40:40" ht="15.75" customHeight="1" x14ac:dyDescent="0.3">
      <c r="AN593" s="11"/>
    </row>
    <row r="594" spans="40:40" ht="15.75" customHeight="1" x14ac:dyDescent="0.3">
      <c r="AN594" s="11"/>
    </row>
    <row r="595" spans="40:40" ht="15.75" customHeight="1" x14ac:dyDescent="0.3">
      <c r="AN595" s="11"/>
    </row>
    <row r="596" spans="40:40" ht="15.75" customHeight="1" x14ac:dyDescent="0.3">
      <c r="AN596" s="11"/>
    </row>
    <row r="597" spans="40:40" ht="15.75" customHeight="1" x14ac:dyDescent="0.3">
      <c r="AN597" s="11"/>
    </row>
    <row r="598" spans="40:40" ht="15.75" customHeight="1" x14ac:dyDescent="0.3">
      <c r="AN598" s="11"/>
    </row>
    <row r="599" spans="40:40" ht="15.75" customHeight="1" x14ac:dyDescent="0.3">
      <c r="AN599" s="11"/>
    </row>
    <row r="600" spans="40:40" ht="15.75" customHeight="1" x14ac:dyDescent="0.3">
      <c r="AN600" s="11"/>
    </row>
    <row r="601" spans="40:40" ht="15.75" customHeight="1" x14ac:dyDescent="0.3">
      <c r="AN601" s="11"/>
    </row>
    <row r="602" spans="40:40" ht="15.75" customHeight="1" x14ac:dyDescent="0.3">
      <c r="AN602" s="11"/>
    </row>
    <row r="603" spans="40:40" ht="15.75" customHeight="1" x14ac:dyDescent="0.3">
      <c r="AN603" s="11"/>
    </row>
    <row r="604" spans="40:40" ht="15.75" customHeight="1" x14ac:dyDescent="0.3">
      <c r="AN604" s="11"/>
    </row>
    <row r="605" spans="40:40" ht="15.75" customHeight="1" x14ac:dyDescent="0.3">
      <c r="AN605" s="11"/>
    </row>
    <row r="606" spans="40:40" ht="15.75" customHeight="1" x14ac:dyDescent="0.3">
      <c r="AN606" s="11"/>
    </row>
    <row r="607" spans="40:40" ht="15.75" customHeight="1" x14ac:dyDescent="0.3">
      <c r="AN607" s="11"/>
    </row>
    <row r="608" spans="40:40" ht="15.75" customHeight="1" x14ac:dyDescent="0.3">
      <c r="AN608" s="11"/>
    </row>
    <row r="609" spans="40:40" ht="15.75" customHeight="1" x14ac:dyDescent="0.3">
      <c r="AN609" s="11"/>
    </row>
    <row r="610" spans="40:40" ht="15.75" customHeight="1" x14ac:dyDescent="0.3">
      <c r="AN610" s="11"/>
    </row>
    <row r="611" spans="40:40" ht="15.75" customHeight="1" x14ac:dyDescent="0.3">
      <c r="AN611" s="11"/>
    </row>
    <row r="612" spans="40:40" ht="15.75" customHeight="1" x14ac:dyDescent="0.3">
      <c r="AN612" s="11"/>
    </row>
    <row r="613" spans="40:40" ht="15.75" customHeight="1" x14ac:dyDescent="0.3">
      <c r="AN613" s="11"/>
    </row>
    <row r="614" spans="40:40" ht="15.75" customHeight="1" x14ac:dyDescent="0.3">
      <c r="AN614" s="11"/>
    </row>
    <row r="615" spans="40:40" ht="15.75" customHeight="1" x14ac:dyDescent="0.3">
      <c r="AN615" s="11"/>
    </row>
    <row r="616" spans="40:40" ht="15.75" customHeight="1" x14ac:dyDescent="0.3">
      <c r="AN616" s="11"/>
    </row>
    <row r="617" spans="40:40" ht="15.75" customHeight="1" x14ac:dyDescent="0.3">
      <c r="AN617" s="11"/>
    </row>
    <row r="618" spans="40:40" ht="15.75" customHeight="1" x14ac:dyDescent="0.3">
      <c r="AN618" s="11"/>
    </row>
    <row r="619" spans="40:40" ht="15.75" customHeight="1" x14ac:dyDescent="0.3">
      <c r="AN619" s="11"/>
    </row>
    <row r="620" spans="40:40" ht="15.75" customHeight="1" x14ac:dyDescent="0.3">
      <c r="AN620" s="11"/>
    </row>
    <row r="621" spans="40:40" ht="15.75" customHeight="1" x14ac:dyDescent="0.3">
      <c r="AN621" s="11"/>
    </row>
    <row r="622" spans="40:40" ht="15.75" customHeight="1" x14ac:dyDescent="0.3">
      <c r="AN622" s="11"/>
    </row>
    <row r="623" spans="40:40" ht="15.75" customHeight="1" x14ac:dyDescent="0.3">
      <c r="AN623" s="11"/>
    </row>
    <row r="624" spans="40:40" ht="15.75" customHeight="1" x14ac:dyDescent="0.3">
      <c r="AN624" s="11"/>
    </row>
    <row r="625" spans="40:40" ht="15.75" customHeight="1" x14ac:dyDescent="0.3">
      <c r="AN625" s="11"/>
    </row>
    <row r="626" spans="40:40" ht="15.75" customHeight="1" x14ac:dyDescent="0.3">
      <c r="AN626" s="11"/>
    </row>
    <row r="627" spans="40:40" ht="15.75" customHeight="1" x14ac:dyDescent="0.3">
      <c r="AN627" s="11"/>
    </row>
    <row r="628" spans="40:40" ht="15.75" customHeight="1" x14ac:dyDescent="0.3">
      <c r="AN628" s="11"/>
    </row>
    <row r="629" spans="40:40" ht="15.75" customHeight="1" x14ac:dyDescent="0.3">
      <c r="AN629" s="11"/>
    </row>
    <row r="630" spans="40:40" ht="15.75" customHeight="1" x14ac:dyDescent="0.3">
      <c r="AN630" s="11"/>
    </row>
    <row r="631" spans="40:40" ht="15.75" customHeight="1" x14ac:dyDescent="0.3">
      <c r="AN631" s="11"/>
    </row>
    <row r="632" spans="40:40" ht="15.75" customHeight="1" x14ac:dyDescent="0.3">
      <c r="AN632" s="11"/>
    </row>
    <row r="633" spans="40:40" ht="15.75" customHeight="1" x14ac:dyDescent="0.3">
      <c r="AN633" s="11"/>
    </row>
    <row r="634" spans="40:40" ht="15.75" customHeight="1" x14ac:dyDescent="0.3">
      <c r="AN634" s="11"/>
    </row>
    <row r="635" spans="40:40" ht="15.75" customHeight="1" x14ac:dyDescent="0.3">
      <c r="AN635" s="11"/>
    </row>
    <row r="636" spans="40:40" ht="15.75" customHeight="1" x14ac:dyDescent="0.3">
      <c r="AN636" s="11"/>
    </row>
    <row r="637" spans="40:40" ht="15.75" customHeight="1" x14ac:dyDescent="0.3">
      <c r="AN637" s="11"/>
    </row>
    <row r="638" spans="40:40" ht="15.75" customHeight="1" x14ac:dyDescent="0.3">
      <c r="AN638" s="11"/>
    </row>
    <row r="639" spans="40:40" ht="15.75" customHeight="1" x14ac:dyDescent="0.3">
      <c r="AN639" s="11"/>
    </row>
    <row r="640" spans="40:40" ht="15.75" customHeight="1" x14ac:dyDescent="0.3">
      <c r="AN640" s="11"/>
    </row>
    <row r="641" spans="40:40" ht="15.75" customHeight="1" x14ac:dyDescent="0.3">
      <c r="AN641" s="11"/>
    </row>
    <row r="642" spans="40:40" ht="15.75" customHeight="1" x14ac:dyDescent="0.3">
      <c r="AN642" s="11"/>
    </row>
    <row r="643" spans="40:40" ht="15.75" customHeight="1" x14ac:dyDescent="0.3">
      <c r="AN643" s="11"/>
    </row>
    <row r="644" spans="40:40" ht="15.75" customHeight="1" x14ac:dyDescent="0.3">
      <c r="AN644" s="11"/>
    </row>
    <row r="645" spans="40:40" ht="15.75" customHeight="1" x14ac:dyDescent="0.3">
      <c r="AN645" s="11"/>
    </row>
    <row r="646" spans="40:40" ht="15.75" customHeight="1" x14ac:dyDescent="0.3">
      <c r="AN646" s="11"/>
    </row>
    <row r="647" spans="40:40" ht="15.75" customHeight="1" x14ac:dyDescent="0.3">
      <c r="AN647" s="11"/>
    </row>
    <row r="648" spans="40:40" ht="15.75" customHeight="1" x14ac:dyDescent="0.3">
      <c r="AN648" s="11"/>
    </row>
    <row r="649" spans="40:40" ht="15.75" customHeight="1" x14ac:dyDescent="0.3">
      <c r="AN649" s="11"/>
    </row>
    <row r="650" spans="40:40" ht="15.75" customHeight="1" x14ac:dyDescent="0.3">
      <c r="AN650" s="11"/>
    </row>
    <row r="651" spans="40:40" ht="15.75" customHeight="1" x14ac:dyDescent="0.3">
      <c r="AN651" s="11"/>
    </row>
    <row r="652" spans="40:40" ht="15.75" customHeight="1" x14ac:dyDescent="0.3">
      <c r="AN652" s="11"/>
    </row>
    <row r="653" spans="40:40" ht="15.75" customHeight="1" x14ac:dyDescent="0.3">
      <c r="AN653" s="11"/>
    </row>
    <row r="654" spans="40:40" ht="15.75" customHeight="1" x14ac:dyDescent="0.3">
      <c r="AN654" s="11"/>
    </row>
    <row r="655" spans="40:40" ht="15.75" customHeight="1" x14ac:dyDescent="0.3">
      <c r="AN655" s="11"/>
    </row>
    <row r="656" spans="40:40" ht="15.75" customHeight="1" x14ac:dyDescent="0.3">
      <c r="AN656" s="11"/>
    </row>
    <row r="657" spans="40:40" ht="15.75" customHeight="1" x14ac:dyDescent="0.3">
      <c r="AN657" s="11"/>
    </row>
    <row r="658" spans="40:40" ht="15.75" customHeight="1" x14ac:dyDescent="0.3">
      <c r="AN658" s="11"/>
    </row>
    <row r="659" spans="40:40" ht="15.75" customHeight="1" x14ac:dyDescent="0.3">
      <c r="AN659" s="11"/>
    </row>
    <row r="660" spans="40:40" ht="15.75" customHeight="1" x14ac:dyDescent="0.3">
      <c r="AN660" s="11"/>
    </row>
    <row r="661" spans="40:40" ht="15.75" customHeight="1" x14ac:dyDescent="0.3">
      <c r="AN661" s="11"/>
    </row>
    <row r="662" spans="40:40" ht="15.75" customHeight="1" x14ac:dyDescent="0.3">
      <c r="AN662" s="11"/>
    </row>
    <row r="663" spans="40:40" ht="15.75" customHeight="1" x14ac:dyDescent="0.3">
      <c r="AN663" s="11"/>
    </row>
    <row r="664" spans="40:40" ht="15.75" customHeight="1" x14ac:dyDescent="0.3">
      <c r="AN664" s="11"/>
    </row>
    <row r="665" spans="40:40" ht="15.75" customHeight="1" x14ac:dyDescent="0.3">
      <c r="AN665" s="11"/>
    </row>
    <row r="666" spans="40:40" ht="15.75" customHeight="1" x14ac:dyDescent="0.3">
      <c r="AN666" s="11"/>
    </row>
    <row r="667" spans="40:40" ht="15.75" customHeight="1" x14ac:dyDescent="0.3">
      <c r="AN667" s="11"/>
    </row>
    <row r="668" spans="40:40" ht="15.75" customHeight="1" x14ac:dyDescent="0.3">
      <c r="AN668" s="11"/>
    </row>
    <row r="669" spans="40:40" ht="15.75" customHeight="1" x14ac:dyDescent="0.3">
      <c r="AN669" s="11"/>
    </row>
    <row r="670" spans="40:40" ht="15.75" customHeight="1" x14ac:dyDescent="0.3">
      <c r="AN670" s="11"/>
    </row>
    <row r="671" spans="40:40" ht="15.75" customHeight="1" x14ac:dyDescent="0.3">
      <c r="AN671" s="11"/>
    </row>
    <row r="672" spans="40:40" ht="15.75" customHeight="1" x14ac:dyDescent="0.3">
      <c r="AN672" s="11"/>
    </row>
    <row r="673" spans="40:40" ht="15.75" customHeight="1" x14ac:dyDescent="0.3">
      <c r="AN673" s="11"/>
    </row>
    <row r="674" spans="40:40" ht="15.75" customHeight="1" x14ac:dyDescent="0.3">
      <c r="AN674" s="11"/>
    </row>
    <row r="675" spans="40:40" ht="15.75" customHeight="1" x14ac:dyDescent="0.3">
      <c r="AN675" s="11"/>
    </row>
    <row r="676" spans="40:40" ht="15.75" customHeight="1" x14ac:dyDescent="0.3">
      <c r="AN676" s="11"/>
    </row>
    <row r="677" spans="40:40" ht="15.75" customHeight="1" x14ac:dyDescent="0.3">
      <c r="AN677" s="11"/>
    </row>
    <row r="678" spans="40:40" ht="15.75" customHeight="1" x14ac:dyDescent="0.3">
      <c r="AN678" s="11"/>
    </row>
    <row r="679" spans="40:40" ht="15.75" customHeight="1" x14ac:dyDescent="0.3">
      <c r="AN679" s="11"/>
    </row>
    <row r="680" spans="40:40" ht="15.75" customHeight="1" x14ac:dyDescent="0.3">
      <c r="AN680" s="11"/>
    </row>
    <row r="681" spans="40:40" ht="15.75" customHeight="1" x14ac:dyDescent="0.3">
      <c r="AN681" s="11"/>
    </row>
    <row r="682" spans="40:40" ht="15.75" customHeight="1" x14ac:dyDescent="0.3">
      <c r="AN682" s="11"/>
    </row>
    <row r="683" spans="40:40" ht="15.75" customHeight="1" x14ac:dyDescent="0.3">
      <c r="AN683" s="11"/>
    </row>
    <row r="684" spans="40:40" ht="15.75" customHeight="1" x14ac:dyDescent="0.3">
      <c r="AN684" s="11"/>
    </row>
    <row r="685" spans="40:40" ht="15.75" customHeight="1" x14ac:dyDescent="0.3">
      <c r="AN685" s="11"/>
    </row>
    <row r="686" spans="40:40" ht="15.75" customHeight="1" x14ac:dyDescent="0.3">
      <c r="AN686" s="11"/>
    </row>
    <row r="687" spans="40:40" ht="15.75" customHeight="1" x14ac:dyDescent="0.3">
      <c r="AN687" s="11"/>
    </row>
    <row r="688" spans="40:40" ht="15.75" customHeight="1" x14ac:dyDescent="0.3">
      <c r="AN688" s="11"/>
    </row>
    <row r="689" spans="40:40" ht="15.75" customHeight="1" x14ac:dyDescent="0.3">
      <c r="AN689" s="11"/>
    </row>
    <row r="690" spans="40:40" ht="15.75" customHeight="1" x14ac:dyDescent="0.3">
      <c r="AN690" s="11"/>
    </row>
    <row r="691" spans="40:40" ht="15.75" customHeight="1" x14ac:dyDescent="0.3">
      <c r="AN691" s="11"/>
    </row>
    <row r="692" spans="40:40" ht="15.75" customHeight="1" x14ac:dyDescent="0.3">
      <c r="AN692" s="11"/>
    </row>
    <row r="693" spans="40:40" ht="15.75" customHeight="1" x14ac:dyDescent="0.3">
      <c r="AN693" s="11"/>
    </row>
    <row r="694" spans="40:40" ht="15.75" customHeight="1" x14ac:dyDescent="0.3">
      <c r="AN694" s="11"/>
    </row>
    <row r="695" spans="40:40" ht="15.75" customHeight="1" x14ac:dyDescent="0.3">
      <c r="AN695" s="11"/>
    </row>
    <row r="696" spans="40:40" ht="15.75" customHeight="1" x14ac:dyDescent="0.3">
      <c r="AN696" s="11"/>
    </row>
    <row r="697" spans="40:40" ht="15.75" customHeight="1" x14ac:dyDescent="0.3">
      <c r="AN697" s="11"/>
    </row>
    <row r="698" spans="40:40" ht="15.75" customHeight="1" x14ac:dyDescent="0.3">
      <c r="AN698" s="11"/>
    </row>
    <row r="699" spans="40:40" ht="15.75" customHeight="1" x14ac:dyDescent="0.3">
      <c r="AN699" s="11"/>
    </row>
    <row r="700" spans="40:40" ht="15.75" customHeight="1" x14ac:dyDescent="0.3">
      <c r="AN700" s="11"/>
    </row>
    <row r="701" spans="40:40" ht="15.75" customHeight="1" x14ac:dyDescent="0.3">
      <c r="AN701" s="11"/>
    </row>
    <row r="702" spans="40:40" ht="15.75" customHeight="1" x14ac:dyDescent="0.3">
      <c r="AN702" s="11"/>
    </row>
    <row r="703" spans="40:40" ht="15.75" customHeight="1" x14ac:dyDescent="0.3">
      <c r="AN703" s="11"/>
    </row>
    <row r="704" spans="40:40" ht="15.75" customHeight="1" x14ac:dyDescent="0.3">
      <c r="AN704" s="11"/>
    </row>
    <row r="705" spans="40:40" ht="15.75" customHeight="1" x14ac:dyDescent="0.3">
      <c r="AN705" s="11"/>
    </row>
    <row r="706" spans="40:40" ht="15.75" customHeight="1" x14ac:dyDescent="0.3">
      <c r="AN706" s="11"/>
    </row>
    <row r="707" spans="40:40" ht="15.75" customHeight="1" x14ac:dyDescent="0.3">
      <c r="AN707" s="11"/>
    </row>
    <row r="708" spans="40:40" ht="15.75" customHeight="1" x14ac:dyDescent="0.3">
      <c r="AN708" s="11"/>
    </row>
    <row r="709" spans="40:40" ht="15.75" customHeight="1" x14ac:dyDescent="0.3">
      <c r="AN709" s="11"/>
    </row>
    <row r="710" spans="40:40" ht="15.75" customHeight="1" x14ac:dyDescent="0.3">
      <c r="AN710" s="11"/>
    </row>
    <row r="711" spans="40:40" ht="15.75" customHeight="1" x14ac:dyDescent="0.3">
      <c r="AN711" s="11"/>
    </row>
    <row r="712" spans="40:40" ht="15.75" customHeight="1" x14ac:dyDescent="0.3">
      <c r="AN712" s="11"/>
    </row>
    <row r="713" spans="40:40" ht="15.75" customHeight="1" x14ac:dyDescent="0.3">
      <c r="AN713" s="11"/>
    </row>
    <row r="714" spans="40:40" ht="15.75" customHeight="1" x14ac:dyDescent="0.3">
      <c r="AN714" s="11"/>
    </row>
    <row r="715" spans="40:40" ht="15.75" customHeight="1" x14ac:dyDescent="0.3">
      <c r="AN715" s="11"/>
    </row>
    <row r="716" spans="40:40" ht="15.75" customHeight="1" x14ac:dyDescent="0.3">
      <c r="AN716" s="11"/>
    </row>
    <row r="717" spans="40:40" ht="15.75" customHeight="1" x14ac:dyDescent="0.3">
      <c r="AN717" s="11"/>
    </row>
    <row r="718" spans="40:40" ht="15.75" customHeight="1" x14ac:dyDescent="0.3">
      <c r="AN718" s="11"/>
    </row>
    <row r="719" spans="40:40" ht="15.75" customHeight="1" x14ac:dyDescent="0.3">
      <c r="AN719" s="11"/>
    </row>
    <row r="720" spans="40:40" ht="15.75" customHeight="1" x14ac:dyDescent="0.3">
      <c r="AN720" s="11"/>
    </row>
    <row r="721" spans="40:40" ht="15.75" customHeight="1" x14ac:dyDescent="0.3">
      <c r="AN721" s="11"/>
    </row>
    <row r="722" spans="40:40" ht="15.75" customHeight="1" x14ac:dyDescent="0.3">
      <c r="AN722" s="11"/>
    </row>
    <row r="723" spans="40:40" ht="15.75" customHeight="1" x14ac:dyDescent="0.3">
      <c r="AN723" s="11"/>
    </row>
    <row r="724" spans="40:40" ht="15.75" customHeight="1" x14ac:dyDescent="0.3">
      <c r="AN724" s="11"/>
    </row>
    <row r="725" spans="40:40" ht="15.75" customHeight="1" x14ac:dyDescent="0.3">
      <c r="AN725" s="11"/>
    </row>
    <row r="726" spans="40:40" ht="15.75" customHeight="1" x14ac:dyDescent="0.3">
      <c r="AN726" s="11"/>
    </row>
    <row r="727" spans="40:40" ht="15.75" customHeight="1" x14ac:dyDescent="0.3">
      <c r="AN727" s="11"/>
    </row>
    <row r="728" spans="40:40" ht="15.75" customHeight="1" x14ac:dyDescent="0.3">
      <c r="AN728" s="11"/>
    </row>
    <row r="729" spans="40:40" ht="15.75" customHeight="1" x14ac:dyDescent="0.3">
      <c r="AN729" s="11"/>
    </row>
    <row r="730" spans="40:40" ht="15.75" customHeight="1" x14ac:dyDescent="0.3">
      <c r="AN730" s="11"/>
    </row>
    <row r="731" spans="40:40" ht="15.75" customHeight="1" x14ac:dyDescent="0.3">
      <c r="AN731" s="11"/>
    </row>
    <row r="732" spans="40:40" ht="15.75" customHeight="1" x14ac:dyDescent="0.3">
      <c r="AN732" s="11"/>
    </row>
    <row r="733" spans="40:40" ht="15.75" customHeight="1" x14ac:dyDescent="0.3">
      <c r="AN733" s="11"/>
    </row>
    <row r="734" spans="40:40" ht="15.75" customHeight="1" x14ac:dyDescent="0.3">
      <c r="AN734" s="11"/>
    </row>
    <row r="735" spans="40:40" ht="15.75" customHeight="1" x14ac:dyDescent="0.3">
      <c r="AN735" s="11"/>
    </row>
    <row r="736" spans="40:40" ht="15.75" customHeight="1" x14ac:dyDescent="0.3">
      <c r="AN736" s="11"/>
    </row>
    <row r="737" spans="40:40" ht="15.75" customHeight="1" x14ac:dyDescent="0.3">
      <c r="AN737" s="11"/>
    </row>
    <row r="738" spans="40:40" ht="15.75" customHeight="1" x14ac:dyDescent="0.3">
      <c r="AN738" s="11"/>
    </row>
    <row r="739" spans="40:40" ht="15.75" customHeight="1" x14ac:dyDescent="0.3">
      <c r="AN739" s="11"/>
    </row>
    <row r="740" spans="40:40" ht="15.75" customHeight="1" x14ac:dyDescent="0.3">
      <c r="AN740" s="11"/>
    </row>
    <row r="741" spans="40:40" ht="15.75" customHeight="1" x14ac:dyDescent="0.3">
      <c r="AN741" s="11"/>
    </row>
    <row r="742" spans="40:40" ht="15.75" customHeight="1" x14ac:dyDescent="0.3">
      <c r="AN742" s="11"/>
    </row>
    <row r="743" spans="40:40" ht="15.75" customHeight="1" x14ac:dyDescent="0.3">
      <c r="AN743" s="11"/>
    </row>
    <row r="744" spans="40:40" ht="15.75" customHeight="1" x14ac:dyDescent="0.3">
      <c r="AN744" s="11"/>
    </row>
    <row r="745" spans="40:40" ht="15.75" customHeight="1" x14ac:dyDescent="0.3">
      <c r="AN745" s="11"/>
    </row>
    <row r="746" spans="40:40" ht="15.75" customHeight="1" x14ac:dyDescent="0.3">
      <c r="AN746" s="11"/>
    </row>
    <row r="747" spans="40:40" ht="15.75" customHeight="1" x14ac:dyDescent="0.3">
      <c r="AN747" s="11"/>
    </row>
    <row r="748" spans="40:40" ht="15.75" customHeight="1" x14ac:dyDescent="0.3">
      <c r="AN748" s="11"/>
    </row>
    <row r="749" spans="40:40" ht="15.75" customHeight="1" x14ac:dyDescent="0.3">
      <c r="AN749" s="11"/>
    </row>
    <row r="750" spans="40:40" ht="15.75" customHeight="1" x14ac:dyDescent="0.3">
      <c r="AN750" s="11"/>
    </row>
    <row r="751" spans="40:40" ht="15.75" customHeight="1" x14ac:dyDescent="0.3">
      <c r="AN751" s="11"/>
    </row>
    <row r="752" spans="40:40" ht="15.75" customHeight="1" x14ac:dyDescent="0.3">
      <c r="AN752" s="11"/>
    </row>
    <row r="753" spans="40:40" ht="15.75" customHeight="1" x14ac:dyDescent="0.3">
      <c r="AN753" s="11"/>
    </row>
    <row r="754" spans="40:40" ht="15.75" customHeight="1" x14ac:dyDescent="0.3">
      <c r="AN754" s="11"/>
    </row>
    <row r="755" spans="40:40" ht="15.75" customHeight="1" x14ac:dyDescent="0.3">
      <c r="AN755" s="11"/>
    </row>
    <row r="756" spans="40:40" ht="15.75" customHeight="1" x14ac:dyDescent="0.3">
      <c r="AN756" s="11"/>
    </row>
    <row r="757" spans="40:40" ht="15.75" customHeight="1" x14ac:dyDescent="0.3">
      <c r="AN757" s="11"/>
    </row>
    <row r="758" spans="40:40" ht="15.75" customHeight="1" x14ac:dyDescent="0.3">
      <c r="AN758" s="11"/>
    </row>
    <row r="759" spans="40:40" ht="15.75" customHeight="1" x14ac:dyDescent="0.3">
      <c r="AN759" s="11"/>
    </row>
    <row r="760" spans="40:40" ht="15.75" customHeight="1" x14ac:dyDescent="0.3">
      <c r="AN760" s="11"/>
    </row>
    <row r="761" spans="40:40" ht="15.75" customHeight="1" x14ac:dyDescent="0.3">
      <c r="AN761" s="11"/>
    </row>
    <row r="762" spans="40:40" ht="15.75" customHeight="1" x14ac:dyDescent="0.3">
      <c r="AN762" s="11"/>
    </row>
    <row r="763" spans="40:40" ht="15.75" customHeight="1" x14ac:dyDescent="0.3">
      <c r="AN763" s="11"/>
    </row>
    <row r="764" spans="40:40" ht="15.75" customHeight="1" x14ac:dyDescent="0.3">
      <c r="AN764" s="11"/>
    </row>
    <row r="765" spans="40:40" ht="15.75" customHeight="1" x14ac:dyDescent="0.3">
      <c r="AN765" s="11"/>
    </row>
    <row r="766" spans="40:40" ht="15.75" customHeight="1" x14ac:dyDescent="0.3">
      <c r="AN766" s="11"/>
    </row>
    <row r="767" spans="40:40" ht="15.75" customHeight="1" x14ac:dyDescent="0.3">
      <c r="AN767" s="11"/>
    </row>
    <row r="768" spans="40:40" ht="15.75" customHeight="1" x14ac:dyDescent="0.3">
      <c r="AN768" s="11"/>
    </row>
    <row r="769" spans="40:40" ht="15.75" customHeight="1" x14ac:dyDescent="0.3">
      <c r="AN769" s="11"/>
    </row>
    <row r="770" spans="40:40" ht="15.75" customHeight="1" x14ac:dyDescent="0.3">
      <c r="AN770" s="11"/>
    </row>
    <row r="771" spans="40:40" ht="15.75" customHeight="1" x14ac:dyDescent="0.3">
      <c r="AN771" s="11"/>
    </row>
    <row r="772" spans="40:40" ht="15.75" customHeight="1" x14ac:dyDescent="0.3">
      <c r="AN772" s="11"/>
    </row>
    <row r="773" spans="40:40" ht="15.75" customHeight="1" x14ac:dyDescent="0.3">
      <c r="AN773" s="11"/>
    </row>
    <row r="774" spans="40:40" ht="15.75" customHeight="1" x14ac:dyDescent="0.3">
      <c r="AN774" s="11"/>
    </row>
    <row r="775" spans="40:40" ht="15.75" customHeight="1" x14ac:dyDescent="0.3">
      <c r="AN775" s="11"/>
    </row>
    <row r="776" spans="40:40" ht="15.75" customHeight="1" x14ac:dyDescent="0.3">
      <c r="AN776" s="11"/>
    </row>
    <row r="777" spans="40:40" ht="15.75" customHeight="1" x14ac:dyDescent="0.3">
      <c r="AN777" s="11"/>
    </row>
    <row r="778" spans="40:40" ht="15.75" customHeight="1" x14ac:dyDescent="0.3">
      <c r="AN778" s="11"/>
    </row>
    <row r="779" spans="40:40" ht="15.75" customHeight="1" x14ac:dyDescent="0.3">
      <c r="AN779" s="11"/>
    </row>
    <row r="780" spans="40:40" ht="15.75" customHeight="1" x14ac:dyDescent="0.3">
      <c r="AN780" s="11"/>
    </row>
    <row r="781" spans="40:40" ht="15.75" customHeight="1" x14ac:dyDescent="0.3">
      <c r="AN781" s="11"/>
    </row>
    <row r="782" spans="40:40" ht="15.75" customHeight="1" x14ac:dyDescent="0.3">
      <c r="AN782" s="11"/>
    </row>
    <row r="783" spans="40:40" ht="15.75" customHeight="1" x14ac:dyDescent="0.3">
      <c r="AN783" s="11"/>
    </row>
    <row r="784" spans="40:40" ht="15.75" customHeight="1" x14ac:dyDescent="0.3">
      <c r="AN784" s="11"/>
    </row>
    <row r="785" spans="40:40" ht="15.75" customHeight="1" x14ac:dyDescent="0.3">
      <c r="AN785" s="11"/>
    </row>
    <row r="786" spans="40:40" ht="15.75" customHeight="1" x14ac:dyDescent="0.3">
      <c r="AN786" s="11"/>
    </row>
    <row r="787" spans="40:40" ht="15.75" customHeight="1" x14ac:dyDescent="0.3">
      <c r="AN787" s="11"/>
    </row>
    <row r="788" spans="40:40" ht="15.75" customHeight="1" x14ac:dyDescent="0.3">
      <c r="AN788" s="11"/>
    </row>
    <row r="789" spans="40:40" ht="15.75" customHeight="1" x14ac:dyDescent="0.3">
      <c r="AN789" s="11"/>
    </row>
    <row r="790" spans="40:40" ht="15.75" customHeight="1" x14ac:dyDescent="0.3">
      <c r="AN790" s="11"/>
    </row>
    <row r="791" spans="40:40" ht="15.75" customHeight="1" x14ac:dyDescent="0.3">
      <c r="AN791" s="11"/>
    </row>
    <row r="792" spans="40:40" ht="15.75" customHeight="1" x14ac:dyDescent="0.3">
      <c r="AN792" s="11"/>
    </row>
    <row r="793" spans="40:40" ht="15.75" customHeight="1" x14ac:dyDescent="0.3">
      <c r="AN793" s="11"/>
    </row>
    <row r="794" spans="40:40" ht="15.75" customHeight="1" x14ac:dyDescent="0.3">
      <c r="AN794" s="11"/>
    </row>
    <row r="795" spans="40:40" ht="15.75" customHeight="1" x14ac:dyDescent="0.3">
      <c r="AN795" s="11"/>
    </row>
    <row r="796" spans="40:40" ht="15.75" customHeight="1" x14ac:dyDescent="0.3">
      <c r="AN796" s="11"/>
    </row>
    <row r="797" spans="40:40" ht="15.75" customHeight="1" x14ac:dyDescent="0.3">
      <c r="AN797" s="11"/>
    </row>
    <row r="798" spans="40:40" ht="15.75" customHeight="1" x14ac:dyDescent="0.3">
      <c r="AN798" s="11"/>
    </row>
    <row r="799" spans="40:40" ht="15.75" customHeight="1" x14ac:dyDescent="0.3">
      <c r="AN799" s="11"/>
    </row>
    <row r="800" spans="40:40" ht="15.75" customHeight="1" x14ac:dyDescent="0.3">
      <c r="AN800" s="11"/>
    </row>
    <row r="801" spans="40:40" ht="15.75" customHeight="1" x14ac:dyDescent="0.3">
      <c r="AN801" s="11"/>
    </row>
    <row r="802" spans="40:40" ht="15.75" customHeight="1" x14ac:dyDescent="0.3">
      <c r="AN802" s="11"/>
    </row>
    <row r="803" spans="40:40" ht="15.75" customHeight="1" x14ac:dyDescent="0.3">
      <c r="AN803" s="11"/>
    </row>
    <row r="804" spans="40:40" ht="15.75" customHeight="1" x14ac:dyDescent="0.3">
      <c r="AN804" s="11"/>
    </row>
    <row r="805" spans="40:40" ht="15.75" customHeight="1" x14ac:dyDescent="0.3">
      <c r="AN805" s="11"/>
    </row>
    <row r="806" spans="40:40" ht="15.75" customHeight="1" x14ac:dyDescent="0.3">
      <c r="AN806" s="11"/>
    </row>
    <row r="807" spans="40:40" ht="15.75" customHeight="1" x14ac:dyDescent="0.3">
      <c r="AN807" s="11"/>
    </row>
    <row r="808" spans="40:40" ht="15.75" customHeight="1" x14ac:dyDescent="0.3">
      <c r="AN808" s="11"/>
    </row>
    <row r="809" spans="40:40" ht="15.75" customHeight="1" x14ac:dyDescent="0.3">
      <c r="AN809" s="11"/>
    </row>
    <row r="810" spans="40:40" ht="15.75" customHeight="1" x14ac:dyDescent="0.3">
      <c r="AN810" s="11"/>
    </row>
    <row r="811" spans="40:40" ht="15.75" customHeight="1" x14ac:dyDescent="0.3">
      <c r="AN811" s="11"/>
    </row>
    <row r="812" spans="40:40" ht="15.75" customHeight="1" x14ac:dyDescent="0.3">
      <c r="AN812" s="11"/>
    </row>
    <row r="813" spans="40:40" ht="15.75" customHeight="1" x14ac:dyDescent="0.3">
      <c r="AN813" s="11"/>
    </row>
    <row r="814" spans="40:40" ht="15.75" customHeight="1" x14ac:dyDescent="0.3">
      <c r="AN814" s="11"/>
    </row>
    <row r="815" spans="40:40" ht="15.75" customHeight="1" x14ac:dyDescent="0.3">
      <c r="AN815" s="11"/>
    </row>
    <row r="816" spans="40:40" ht="15.75" customHeight="1" x14ac:dyDescent="0.3">
      <c r="AN816" s="11"/>
    </row>
    <row r="817" spans="40:40" ht="15.75" customHeight="1" x14ac:dyDescent="0.3">
      <c r="AN817" s="11"/>
    </row>
    <row r="818" spans="40:40" ht="15.75" customHeight="1" x14ac:dyDescent="0.3">
      <c r="AN818" s="11"/>
    </row>
    <row r="819" spans="40:40" ht="15.75" customHeight="1" x14ac:dyDescent="0.3">
      <c r="AN819" s="11"/>
    </row>
    <row r="820" spans="40:40" ht="15.75" customHeight="1" x14ac:dyDescent="0.3">
      <c r="AN820" s="11"/>
    </row>
    <row r="821" spans="40:40" ht="15.75" customHeight="1" x14ac:dyDescent="0.3">
      <c r="AN821" s="11"/>
    </row>
    <row r="822" spans="40:40" ht="15.75" customHeight="1" x14ac:dyDescent="0.3">
      <c r="AN822" s="11"/>
    </row>
    <row r="823" spans="40:40" ht="15.75" customHeight="1" x14ac:dyDescent="0.3">
      <c r="AN823" s="11"/>
    </row>
    <row r="824" spans="40:40" ht="15.75" customHeight="1" x14ac:dyDescent="0.3">
      <c r="AN824" s="11"/>
    </row>
    <row r="825" spans="40:40" ht="15.75" customHeight="1" x14ac:dyDescent="0.3">
      <c r="AN825" s="11"/>
    </row>
    <row r="826" spans="40:40" ht="15.75" customHeight="1" x14ac:dyDescent="0.3">
      <c r="AN826" s="11"/>
    </row>
    <row r="827" spans="40:40" ht="15.75" customHeight="1" x14ac:dyDescent="0.3">
      <c r="AN827" s="11"/>
    </row>
    <row r="828" spans="40:40" ht="15.75" customHeight="1" x14ac:dyDescent="0.3">
      <c r="AN828" s="11"/>
    </row>
    <row r="829" spans="40:40" ht="15.75" customHeight="1" x14ac:dyDescent="0.3">
      <c r="AN829" s="11"/>
    </row>
    <row r="830" spans="40:40" ht="15.75" customHeight="1" x14ac:dyDescent="0.3">
      <c r="AN830" s="11"/>
    </row>
    <row r="831" spans="40:40" ht="15.75" customHeight="1" x14ac:dyDescent="0.3">
      <c r="AN831" s="11"/>
    </row>
    <row r="832" spans="40:40" ht="15.75" customHeight="1" x14ac:dyDescent="0.3">
      <c r="AN832" s="11"/>
    </row>
    <row r="833" spans="40:40" ht="15.75" customHeight="1" x14ac:dyDescent="0.3">
      <c r="AN833" s="11"/>
    </row>
    <row r="834" spans="40:40" ht="15.75" customHeight="1" x14ac:dyDescent="0.3">
      <c r="AN834" s="11"/>
    </row>
    <row r="835" spans="40:40" ht="15.75" customHeight="1" x14ac:dyDescent="0.3">
      <c r="AN835" s="11"/>
    </row>
    <row r="836" spans="40:40" ht="15.75" customHeight="1" x14ac:dyDescent="0.3">
      <c r="AN836" s="11"/>
    </row>
    <row r="837" spans="40:40" ht="15.75" customHeight="1" x14ac:dyDescent="0.3">
      <c r="AN837" s="11"/>
    </row>
    <row r="838" spans="40:40" ht="15.75" customHeight="1" x14ac:dyDescent="0.3">
      <c r="AN838" s="11"/>
    </row>
    <row r="839" spans="40:40" ht="15.75" customHeight="1" x14ac:dyDescent="0.3">
      <c r="AN839" s="11"/>
    </row>
    <row r="840" spans="40:40" ht="15.75" customHeight="1" x14ac:dyDescent="0.3">
      <c r="AN840" s="11"/>
    </row>
    <row r="841" spans="40:40" ht="15.75" customHeight="1" x14ac:dyDescent="0.3">
      <c r="AN841" s="11"/>
    </row>
    <row r="842" spans="40:40" ht="15.75" customHeight="1" x14ac:dyDescent="0.3">
      <c r="AN842" s="11"/>
    </row>
    <row r="843" spans="40:40" ht="15.75" customHeight="1" x14ac:dyDescent="0.3">
      <c r="AN843" s="11"/>
    </row>
    <row r="844" spans="40:40" ht="15.75" customHeight="1" x14ac:dyDescent="0.3">
      <c r="AN844" s="11"/>
    </row>
    <row r="845" spans="40:40" ht="15.75" customHeight="1" x14ac:dyDescent="0.3">
      <c r="AN845" s="11"/>
    </row>
    <row r="846" spans="40:40" ht="15.75" customHeight="1" x14ac:dyDescent="0.3">
      <c r="AN846" s="11"/>
    </row>
    <row r="847" spans="40:40" ht="15.75" customHeight="1" x14ac:dyDescent="0.3">
      <c r="AN847" s="11"/>
    </row>
    <row r="848" spans="40:40" ht="15.75" customHeight="1" x14ac:dyDescent="0.3">
      <c r="AN848" s="11"/>
    </row>
    <row r="849" spans="40:40" ht="15.75" customHeight="1" x14ac:dyDescent="0.3">
      <c r="AN849" s="11"/>
    </row>
    <row r="850" spans="40:40" ht="15.75" customHeight="1" x14ac:dyDescent="0.3">
      <c r="AN850" s="11"/>
    </row>
    <row r="851" spans="40:40" ht="15.75" customHeight="1" x14ac:dyDescent="0.3">
      <c r="AN851" s="11"/>
    </row>
    <row r="852" spans="40:40" ht="15.75" customHeight="1" x14ac:dyDescent="0.3">
      <c r="AN852" s="11"/>
    </row>
    <row r="853" spans="40:40" ht="15.75" customHeight="1" x14ac:dyDescent="0.3">
      <c r="AN853" s="11"/>
    </row>
    <row r="854" spans="40:40" ht="15.75" customHeight="1" x14ac:dyDescent="0.3">
      <c r="AN854" s="11"/>
    </row>
    <row r="855" spans="40:40" ht="15.75" customHeight="1" x14ac:dyDescent="0.3">
      <c r="AN855" s="11"/>
    </row>
    <row r="856" spans="40:40" ht="15.75" customHeight="1" x14ac:dyDescent="0.3">
      <c r="AN856" s="11"/>
    </row>
    <row r="857" spans="40:40" ht="15.75" customHeight="1" x14ac:dyDescent="0.3">
      <c r="AN857" s="11"/>
    </row>
    <row r="858" spans="40:40" ht="15.75" customHeight="1" x14ac:dyDescent="0.3">
      <c r="AN858" s="11"/>
    </row>
    <row r="859" spans="40:40" ht="15.75" customHeight="1" x14ac:dyDescent="0.3">
      <c r="AN859" s="11"/>
    </row>
    <row r="860" spans="40:40" ht="15.75" customHeight="1" x14ac:dyDescent="0.3">
      <c r="AN860" s="11"/>
    </row>
    <row r="861" spans="40:40" ht="15.75" customHeight="1" x14ac:dyDescent="0.3">
      <c r="AN861" s="11"/>
    </row>
    <row r="862" spans="40:40" ht="15.75" customHeight="1" x14ac:dyDescent="0.3">
      <c r="AN862" s="11"/>
    </row>
    <row r="863" spans="40:40" ht="15.75" customHeight="1" x14ac:dyDescent="0.3">
      <c r="AN863" s="11"/>
    </row>
    <row r="864" spans="40:40" ht="15.75" customHeight="1" x14ac:dyDescent="0.3">
      <c r="AN864" s="11"/>
    </row>
    <row r="865" spans="40:40" ht="15.75" customHeight="1" x14ac:dyDescent="0.3">
      <c r="AN865" s="11"/>
    </row>
    <row r="866" spans="40:40" ht="15.75" customHeight="1" x14ac:dyDescent="0.3">
      <c r="AN866" s="11"/>
    </row>
    <row r="867" spans="40:40" ht="15.75" customHeight="1" x14ac:dyDescent="0.3">
      <c r="AN867" s="11"/>
    </row>
    <row r="868" spans="40:40" ht="15.75" customHeight="1" x14ac:dyDescent="0.3">
      <c r="AN868" s="11"/>
    </row>
    <row r="869" spans="40:40" ht="15.75" customHeight="1" x14ac:dyDescent="0.3">
      <c r="AN869" s="11"/>
    </row>
    <row r="870" spans="40:40" ht="15.75" customHeight="1" x14ac:dyDescent="0.3">
      <c r="AN870" s="11"/>
    </row>
    <row r="871" spans="40:40" ht="15.75" customHeight="1" x14ac:dyDescent="0.3">
      <c r="AN871" s="11"/>
    </row>
    <row r="872" spans="40:40" ht="15.75" customHeight="1" x14ac:dyDescent="0.3">
      <c r="AN872" s="11"/>
    </row>
    <row r="873" spans="40:40" ht="15.75" customHeight="1" x14ac:dyDescent="0.3">
      <c r="AN873" s="11"/>
    </row>
    <row r="874" spans="40:40" ht="15.75" customHeight="1" x14ac:dyDescent="0.3">
      <c r="AN874" s="11"/>
    </row>
    <row r="875" spans="40:40" ht="15.75" customHeight="1" x14ac:dyDescent="0.3">
      <c r="AN875" s="11"/>
    </row>
    <row r="876" spans="40:40" ht="15.75" customHeight="1" x14ac:dyDescent="0.3">
      <c r="AN876" s="11"/>
    </row>
    <row r="877" spans="40:40" ht="15.75" customHeight="1" x14ac:dyDescent="0.3">
      <c r="AN877" s="11"/>
    </row>
    <row r="878" spans="40:40" ht="15.75" customHeight="1" x14ac:dyDescent="0.3">
      <c r="AN878" s="11"/>
    </row>
    <row r="879" spans="40:40" ht="15.75" customHeight="1" x14ac:dyDescent="0.3">
      <c r="AN879" s="11"/>
    </row>
    <row r="880" spans="40:40" ht="15.75" customHeight="1" x14ac:dyDescent="0.3">
      <c r="AN880" s="11"/>
    </row>
    <row r="881" spans="40:40" ht="15.75" customHeight="1" x14ac:dyDescent="0.3">
      <c r="AN881" s="11"/>
    </row>
    <row r="882" spans="40:40" ht="15.75" customHeight="1" x14ac:dyDescent="0.3">
      <c r="AN882" s="11"/>
    </row>
    <row r="883" spans="40:40" ht="15.75" customHeight="1" x14ac:dyDescent="0.3">
      <c r="AN883" s="11"/>
    </row>
    <row r="884" spans="40:40" ht="15.75" customHeight="1" x14ac:dyDescent="0.3">
      <c r="AN884" s="11"/>
    </row>
    <row r="885" spans="40:40" ht="15.75" customHeight="1" x14ac:dyDescent="0.3">
      <c r="AN885" s="11"/>
    </row>
    <row r="886" spans="40:40" ht="15.75" customHeight="1" x14ac:dyDescent="0.3">
      <c r="AN886" s="11"/>
    </row>
    <row r="887" spans="40:40" ht="15.75" customHeight="1" x14ac:dyDescent="0.3">
      <c r="AN887" s="11"/>
    </row>
    <row r="888" spans="40:40" ht="15.75" customHeight="1" x14ac:dyDescent="0.3">
      <c r="AN888" s="11"/>
    </row>
    <row r="889" spans="40:40" ht="15.75" customHeight="1" x14ac:dyDescent="0.3">
      <c r="AN889" s="11"/>
    </row>
    <row r="890" spans="40:40" ht="15.75" customHeight="1" x14ac:dyDescent="0.3">
      <c r="AN890" s="11"/>
    </row>
    <row r="891" spans="40:40" ht="15.75" customHeight="1" x14ac:dyDescent="0.3">
      <c r="AN891" s="11"/>
    </row>
    <row r="892" spans="40:40" ht="15.75" customHeight="1" x14ac:dyDescent="0.3">
      <c r="AN892" s="11"/>
    </row>
    <row r="893" spans="40:40" ht="15.75" customHeight="1" x14ac:dyDescent="0.3">
      <c r="AN893" s="11"/>
    </row>
    <row r="894" spans="40:40" ht="15.75" customHeight="1" x14ac:dyDescent="0.3">
      <c r="AN894" s="11"/>
    </row>
    <row r="895" spans="40:40" ht="15.75" customHeight="1" x14ac:dyDescent="0.3">
      <c r="AN895" s="11"/>
    </row>
    <row r="896" spans="40:40" ht="15.75" customHeight="1" x14ac:dyDescent="0.3">
      <c r="AN896" s="11"/>
    </row>
    <row r="897" spans="40:40" ht="15.75" customHeight="1" x14ac:dyDescent="0.3">
      <c r="AN897" s="11"/>
    </row>
    <row r="898" spans="40:40" ht="15.75" customHeight="1" x14ac:dyDescent="0.3">
      <c r="AN898" s="11"/>
    </row>
    <row r="899" spans="40:40" ht="15.75" customHeight="1" x14ac:dyDescent="0.3">
      <c r="AN899" s="11"/>
    </row>
    <row r="900" spans="40:40" ht="15.75" customHeight="1" x14ac:dyDescent="0.3">
      <c r="AN900" s="11"/>
    </row>
    <row r="901" spans="40:40" ht="15.75" customHeight="1" x14ac:dyDescent="0.3">
      <c r="AN901" s="11"/>
    </row>
    <row r="902" spans="40:40" ht="15.75" customHeight="1" x14ac:dyDescent="0.3">
      <c r="AN902" s="11"/>
    </row>
    <row r="903" spans="40:40" ht="15.75" customHeight="1" x14ac:dyDescent="0.3">
      <c r="AN903" s="11"/>
    </row>
    <row r="904" spans="40:40" ht="15.75" customHeight="1" x14ac:dyDescent="0.3">
      <c r="AN904" s="11"/>
    </row>
    <row r="905" spans="40:40" ht="15.75" customHeight="1" x14ac:dyDescent="0.3">
      <c r="AN905" s="11"/>
    </row>
    <row r="906" spans="40:40" ht="15.75" customHeight="1" x14ac:dyDescent="0.3">
      <c r="AN906" s="11"/>
    </row>
    <row r="907" spans="40:40" ht="15.75" customHeight="1" x14ac:dyDescent="0.3">
      <c r="AN907" s="11"/>
    </row>
    <row r="908" spans="40:40" ht="15.75" customHeight="1" x14ac:dyDescent="0.3">
      <c r="AN908" s="11"/>
    </row>
    <row r="909" spans="40:40" ht="15.75" customHeight="1" x14ac:dyDescent="0.3">
      <c r="AN909" s="11"/>
    </row>
    <row r="910" spans="40:40" ht="15.75" customHeight="1" x14ac:dyDescent="0.3">
      <c r="AN910" s="11"/>
    </row>
    <row r="911" spans="40:40" ht="15.75" customHeight="1" x14ac:dyDescent="0.3">
      <c r="AN911" s="11"/>
    </row>
    <row r="912" spans="40:40" ht="15.75" customHeight="1" x14ac:dyDescent="0.3">
      <c r="AN912" s="11"/>
    </row>
    <row r="913" spans="40:40" ht="15.75" customHeight="1" x14ac:dyDescent="0.3">
      <c r="AN913" s="11"/>
    </row>
    <row r="914" spans="40:40" ht="15.75" customHeight="1" x14ac:dyDescent="0.3">
      <c r="AN914" s="11"/>
    </row>
    <row r="915" spans="40:40" ht="15.75" customHeight="1" x14ac:dyDescent="0.3">
      <c r="AN915" s="11"/>
    </row>
    <row r="916" spans="40:40" ht="15.75" customHeight="1" x14ac:dyDescent="0.3">
      <c r="AN916" s="11"/>
    </row>
    <row r="917" spans="40:40" ht="15.75" customHeight="1" x14ac:dyDescent="0.3">
      <c r="AN917" s="11"/>
    </row>
    <row r="918" spans="40:40" ht="15.75" customHeight="1" x14ac:dyDescent="0.3">
      <c r="AN918" s="11"/>
    </row>
    <row r="919" spans="40:40" ht="15.75" customHeight="1" x14ac:dyDescent="0.3">
      <c r="AN919" s="11"/>
    </row>
    <row r="920" spans="40:40" ht="15.75" customHeight="1" x14ac:dyDescent="0.3">
      <c r="AN920" s="11"/>
    </row>
    <row r="921" spans="40:40" ht="15.75" customHeight="1" x14ac:dyDescent="0.3">
      <c r="AN921" s="11"/>
    </row>
    <row r="922" spans="40:40" ht="15.75" customHeight="1" x14ac:dyDescent="0.3">
      <c r="AN922" s="11"/>
    </row>
    <row r="923" spans="40:40" ht="15.75" customHeight="1" x14ac:dyDescent="0.3">
      <c r="AN923" s="11"/>
    </row>
    <row r="924" spans="40:40" ht="15.75" customHeight="1" x14ac:dyDescent="0.3">
      <c r="AN924" s="11"/>
    </row>
    <row r="925" spans="40:40" ht="15.75" customHeight="1" x14ac:dyDescent="0.3">
      <c r="AN925" s="11"/>
    </row>
    <row r="926" spans="40:40" ht="15.75" customHeight="1" x14ac:dyDescent="0.3">
      <c r="AN926" s="11"/>
    </row>
    <row r="927" spans="40:40" ht="15.75" customHeight="1" x14ac:dyDescent="0.3">
      <c r="AN927" s="11"/>
    </row>
    <row r="928" spans="40:40" ht="15.75" customHeight="1" x14ac:dyDescent="0.3">
      <c r="AN928" s="11"/>
    </row>
    <row r="929" spans="40:40" ht="15.75" customHeight="1" x14ac:dyDescent="0.3">
      <c r="AN929" s="11"/>
    </row>
    <row r="930" spans="40:40" ht="15.75" customHeight="1" x14ac:dyDescent="0.3">
      <c r="AN930" s="11"/>
    </row>
    <row r="931" spans="40:40" ht="15.75" customHeight="1" x14ac:dyDescent="0.3">
      <c r="AN931" s="11"/>
    </row>
    <row r="932" spans="40:40" ht="15.75" customHeight="1" x14ac:dyDescent="0.3">
      <c r="AN932" s="11"/>
    </row>
    <row r="933" spans="40:40" ht="15.75" customHeight="1" x14ac:dyDescent="0.3">
      <c r="AN933" s="11"/>
    </row>
    <row r="934" spans="40:40" ht="15.75" customHeight="1" x14ac:dyDescent="0.3">
      <c r="AN934" s="11"/>
    </row>
    <row r="935" spans="40:40" ht="15.75" customHeight="1" x14ac:dyDescent="0.3">
      <c r="AN935" s="11"/>
    </row>
    <row r="936" spans="40:40" ht="15.75" customHeight="1" x14ac:dyDescent="0.3">
      <c r="AN936" s="11"/>
    </row>
    <row r="937" spans="40:40" ht="15.75" customHeight="1" x14ac:dyDescent="0.3">
      <c r="AN937" s="11"/>
    </row>
    <row r="938" spans="40:40" ht="15.75" customHeight="1" x14ac:dyDescent="0.3">
      <c r="AN938" s="11"/>
    </row>
    <row r="939" spans="40:40" ht="15.75" customHeight="1" x14ac:dyDescent="0.3">
      <c r="AN939" s="11"/>
    </row>
    <row r="940" spans="40:40" ht="15.75" customHeight="1" x14ac:dyDescent="0.3">
      <c r="AN940" s="11"/>
    </row>
    <row r="941" spans="40:40" ht="15.75" customHeight="1" x14ac:dyDescent="0.3">
      <c r="AN941" s="11"/>
    </row>
    <row r="942" spans="40:40" ht="15.75" customHeight="1" x14ac:dyDescent="0.3">
      <c r="AN942" s="11"/>
    </row>
    <row r="943" spans="40:40" ht="15.75" customHeight="1" x14ac:dyDescent="0.3">
      <c r="AN943" s="11"/>
    </row>
    <row r="944" spans="40:40" ht="15.75" customHeight="1" x14ac:dyDescent="0.3">
      <c r="AN944" s="11"/>
    </row>
    <row r="945" spans="40:40" ht="15.75" customHeight="1" x14ac:dyDescent="0.3">
      <c r="AN945" s="11"/>
    </row>
    <row r="946" spans="40:40" ht="15.75" customHeight="1" x14ac:dyDescent="0.3">
      <c r="AN946" s="11"/>
    </row>
    <row r="947" spans="40:40" ht="15.75" customHeight="1" x14ac:dyDescent="0.3">
      <c r="AN947" s="11"/>
    </row>
    <row r="948" spans="40:40" ht="15.75" customHeight="1" x14ac:dyDescent="0.3">
      <c r="AN948" s="11"/>
    </row>
    <row r="949" spans="40:40" ht="15.75" customHeight="1" x14ac:dyDescent="0.3">
      <c r="AN949" s="11"/>
    </row>
    <row r="950" spans="40:40" ht="15.75" customHeight="1" x14ac:dyDescent="0.3">
      <c r="AN950" s="11"/>
    </row>
    <row r="951" spans="40:40" ht="15.75" customHeight="1" x14ac:dyDescent="0.3">
      <c r="AN951" s="11"/>
    </row>
    <row r="952" spans="40:40" ht="15.75" customHeight="1" x14ac:dyDescent="0.3">
      <c r="AN952" s="11"/>
    </row>
    <row r="953" spans="40:40" ht="15.75" customHeight="1" x14ac:dyDescent="0.3">
      <c r="AN953" s="11"/>
    </row>
    <row r="954" spans="40:40" ht="15.75" customHeight="1" x14ac:dyDescent="0.3">
      <c r="AN954" s="11"/>
    </row>
    <row r="955" spans="40:40" ht="15.75" customHeight="1" x14ac:dyDescent="0.3">
      <c r="AN955" s="11"/>
    </row>
    <row r="956" spans="40:40" ht="15.75" customHeight="1" x14ac:dyDescent="0.3">
      <c r="AN956" s="11"/>
    </row>
    <row r="957" spans="40:40" ht="15.75" customHeight="1" x14ac:dyDescent="0.3">
      <c r="AN957" s="11"/>
    </row>
    <row r="958" spans="40:40" ht="15.75" customHeight="1" x14ac:dyDescent="0.3">
      <c r="AN958" s="11"/>
    </row>
    <row r="959" spans="40:40" ht="15.75" customHeight="1" x14ac:dyDescent="0.3">
      <c r="AN959" s="11"/>
    </row>
    <row r="960" spans="40:40" ht="15.75" customHeight="1" x14ac:dyDescent="0.3">
      <c r="AN960" s="11"/>
    </row>
    <row r="961" spans="40:40" ht="15.75" customHeight="1" x14ac:dyDescent="0.3">
      <c r="AN961" s="11"/>
    </row>
    <row r="962" spans="40:40" ht="15.75" customHeight="1" x14ac:dyDescent="0.3">
      <c r="AN962" s="11"/>
    </row>
    <row r="963" spans="40:40" ht="15.75" customHeight="1" x14ac:dyDescent="0.3">
      <c r="AN963" s="11"/>
    </row>
    <row r="964" spans="40:40" ht="15.75" customHeight="1" x14ac:dyDescent="0.3">
      <c r="AN964" s="11"/>
    </row>
    <row r="965" spans="40:40" ht="15.75" customHeight="1" x14ac:dyDescent="0.3">
      <c r="AN965" s="11"/>
    </row>
    <row r="966" spans="40:40" ht="15.75" customHeight="1" x14ac:dyDescent="0.3">
      <c r="AN966" s="11"/>
    </row>
    <row r="967" spans="40:40" ht="15.75" customHeight="1" x14ac:dyDescent="0.3">
      <c r="AN967" s="11"/>
    </row>
    <row r="968" spans="40:40" ht="15.75" customHeight="1" x14ac:dyDescent="0.3">
      <c r="AN968" s="11"/>
    </row>
    <row r="969" spans="40:40" ht="15.75" customHeight="1" x14ac:dyDescent="0.3">
      <c r="AN969" s="11"/>
    </row>
    <row r="970" spans="40:40" ht="15.75" customHeight="1" x14ac:dyDescent="0.3">
      <c r="AN970" s="11"/>
    </row>
    <row r="971" spans="40:40" ht="15.75" customHeight="1" x14ac:dyDescent="0.3">
      <c r="AN971" s="11"/>
    </row>
    <row r="972" spans="40:40" ht="15.75" customHeight="1" x14ac:dyDescent="0.3">
      <c r="AN972" s="11"/>
    </row>
    <row r="973" spans="40:40" ht="15.75" customHeight="1" x14ac:dyDescent="0.3">
      <c r="AN973" s="11"/>
    </row>
    <row r="974" spans="40:40" ht="15.75" customHeight="1" x14ac:dyDescent="0.3">
      <c r="AN974" s="11"/>
    </row>
    <row r="975" spans="40:40" ht="15.75" customHeight="1" x14ac:dyDescent="0.3">
      <c r="AN975" s="11"/>
    </row>
    <row r="976" spans="40:40" ht="15.75" customHeight="1" x14ac:dyDescent="0.3">
      <c r="AN976" s="11"/>
    </row>
    <row r="977" spans="40:40" ht="15.75" customHeight="1" x14ac:dyDescent="0.3">
      <c r="AN977" s="11"/>
    </row>
    <row r="978" spans="40:40" ht="15.75" customHeight="1" x14ac:dyDescent="0.3">
      <c r="AN978" s="11"/>
    </row>
    <row r="979" spans="40:40" ht="15.75" customHeight="1" x14ac:dyDescent="0.3">
      <c r="AN979" s="11"/>
    </row>
    <row r="980" spans="40:40" ht="15.75" customHeight="1" x14ac:dyDescent="0.3">
      <c r="AN980" s="11"/>
    </row>
    <row r="981" spans="40:40" ht="15.75" customHeight="1" x14ac:dyDescent="0.3">
      <c r="AN981" s="11"/>
    </row>
    <row r="982" spans="40:40" ht="15.75" customHeight="1" x14ac:dyDescent="0.3">
      <c r="AN982" s="11"/>
    </row>
    <row r="983" spans="40:40" ht="15.75" customHeight="1" x14ac:dyDescent="0.3">
      <c r="AN983" s="11"/>
    </row>
    <row r="984" spans="40:40" ht="15.75" customHeight="1" x14ac:dyDescent="0.3">
      <c r="AN984" s="11"/>
    </row>
    <row r="985" spans="40:40" ht="15.75" customHeight="1" x14ac:dyDescent="0.3">
      <c r="AN985" s="11"/>
    </row>
    <row r="986" spans="40:40" ht="15.75" customHeight="1" x14ac:dyDescent="0.3">
      <c r="AN986" s="11"/>
    </row>
    <row r="987" spans="40:40" ht="15.75" customHeight="1" x14ac:dyDescent="0.3">
      <c r="AN987" s="11"/>
    </row>
    <row r="988" spans="40:40" ht="15.75" customHeight="1" x14ac:dyDescent="0.3">
      <c r="AN988" s="11"/>
    </row>
    <row r="989" spans="40:40" ht="15.75" customHeight="1" x14ac:dyDescent="0.3">
      <c r="AN989" s="11"/>
    </row>
    <row r="990" spans="40:40" ht="15.75" customHeight="1" x14ac:dyDescent="0.3">
      <c r="AN990" s="11"/>
    </row>
    <row r="991" spans="40:40" ht="15.75" customHeight="1" x14ac:dyDescent="0.3">
      <c r="AN991" s="11"/>
    </row>
    <row r="992" spans="40:40" ht="15.75" customHeight="1" x14ac:dyDescent="0.3">
      <c r="AN992" s="11"/>
    </row>
    <row r="993" spans="40:40" ht="15.75" customHeight="1" x14ac:dyDescent="0.3">
      <c r="AN993" s="11"/>
    </row>
    <row r="994" spans="40:40" ht="15.75" customHeight="1" x14ac:dyDescent="0.3">
      <c r="AN994" s="11"/>
    </row>
    <row r="995" spans="40:40" ht="15.75" customHeight="1" x14ac:dyDescent="0.3">
      <c r="AN995" s="11"/>
    </row>
    <row r="996" spans="40:40" ht="15.75" customHeight="1" x14ac:dyDescent="0.3">
      <c r="AN996" s="11"/>
    </row>
    <row r="997" spans="40:40" ht="15.75" customHeight="1" x14ac:dyDescent="0.3">
      <c r="AN997" s="11"/>
    </row>
    <row r="998" spans="40:40" ht="15.75" customHeight="1" x14ac:dyDescent="0.3">
      <c r="AN998" s="11"/>
    </row>
    <row r="999" spans="40:40" ht="15.75" customHeight="1" x14ac:dyDescent="0.3">
      <c r="AN999" s="11"/>
    </row>
    <row r="1000" spans="40:40" ht="15.75" customHeight="1" x14ac:dyDescent="0.3">
      <c r="AN1000" s="11"/>
    </row>
  </sheetData>
  <autoFilter ref="A6:F6" xr:uid="{00000000-0009-0000-0000-000001000000}"/>
  <mergeCells count="5">
    <mergeCell ref="T3:X3"/>
    <mergeCell ref="A4:F5"/>
    <mergeCell ref="AL5:AL6"/>
    <mergeCell ref="AM5:AM6"/>
    <mergeCell ref="D103:E103"/>
  </mergeCells>
  <pageMargins left="0.7" right="0.7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2026-07-06T20:07:28Z</dcterms:modified>
</cp:coreProperties>
</file>