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ownloads\input\excels\2026\JULIO\"/>
    </mc:Choice>
  </mc:AlternateContent>
  <xr:revisionPtr revIDLastSave="0" documentId="13_ncr:1_{688583DB-0EBA-43AE-B433-CD0EE2D646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5" i="2" l="1"/>
  <c r="AL74" i="2"/>
  <c r="AM74" i="2" s="1"/>
  <c r="AN74" i="2" s="1"/>
  <c r="F74" i="2"/>
  <c r="AL73" i="2"/>
  <c r="AM73" i="2" s="1"/>
  <c r="AN73" i="2" s="1"/>
  <c r="F73" i="2"/>
  <c r="AM72" i="2"/>
  <c r="AN72" i="2" s="1"/>
  <c r="AL72" i="2"/>
  <c r="F72" i="2"/>
  <c r="AL71" i="2"/>
  <c r="AM71" i="2" s="1"/>
  <c r="AN71" i="2" s="1"/>
  <c r="F71" i="2"/>
  <c r="AL70" i="2"/>
  <c r="AM70" i="2" s="1"/>
  <c r="AN70" i="2" s="1"/>
  <c r="F70" i="2"/>
  <c r="AM69" i="2"/>
  <c r="AN69" i="2" s="1"/>
  <c r="AL69" i="2"/>
  <c r="F69" i="2"/>
  <c r="AL68" i="2"/>
  <c r="AM68" i="2" s="1"/>
  <c r="AN68" i="2" s="1"/>
  <c r="F68" i="2"/>
  <c r="AL67" i="2"/>
  <c r="AM67" i="2" s="1"/>
  <c r="AN67" i="2" s="1"/>
  <c r="F67" i="2"/>
  <c r="AM66" i="2"/>
  <c r="AN66" i="2" s="1"/>
  <c r="AL66" i="2"/>
  <c r="F66" i="2"/>
  <c r="AL65" i="2"/>
  <c r="AM65" i="2" s="1"/>
  <c r="AN65" i="2" s="1"/>
  <c r="F65" i="2"/>
  <c r="AL64" i="2"/>
  <c r="AM64" i="2" s="1"/>
  <c r="AN64" i="2" s="1"/>
  <c r="F64" i="2"/>
  <c r="AM63" i="2"/>
  <c r="AN63" i="2" s="1"/>
  <c r="AL63" i="2"/>
  <c r="F63" i="2"/>
  <c r="AL62" i="2"/>
  <c r="AM62" i="2" s="1"/>
  <c r="AN62" i="2" s="1"/>
  <c r="F62" i="2"/>
  <c r="AL61" i="2"/>
  <c r="AM61" i="2" s="1"/>
  <c r="AN61" i="2" s="1"/>
  <c r="F61" i="2"/>
  <c r="AM60" i="2"/>
  <c r="AN60" i="2" s="1"/>
  <c r="AL60" i="2"/>
  <c r="F60" i="2"/>
  <c r="AL59" i="2"/>
  <c r="AM59" i="2" s="1"/>
  <c r="AN59" i="2" s="1"/>
  <c r="F59" i="2"/>
  <c r="AL58" i="2"/>
  <c r="AM58" i="2" s="1"/>
  <c r="AN58" i="2" s="1"/>
  <c r="F58" i="2"/>
  <c r="AM57" i="2"/>
  <c r="AN57" i="2" s="1"/>
  <c r="AL57" i="2"/>
  <c r="F57" i="2"/>
  <c r="AL56" i="2"/>
  <c r="AM56" i="2" s="1"/>
  <c r="AN56" i="2" s="1"/>
  <c r="F56" i="2"/>
  <c r="AL55" i="2"/>
  <c r="AM55" i="2" s="1"/>
  <c r="AN55" i="2" s="1"/>
  <c r="F55" i="2"/>
  <c r="AM54" i="2"/>
  <c r="AN54" i="2" s="1"/>
  <c r="AL54" i="2"/>
  <c r="F54" i="2"/>
  <c r="AL53" i="2"/>
  <c r="AM53" i="2" s="1"/>
  <c r="AN53" i="2" s="1"/>
  <c r="F53" i="2"/>
  <c r="AL52" i="2"/>
  <c r="AM52" i="2" s="1"/>
  <c r="AN52" i="2" s="1"/>
  <c r="F52" i="2"/>
  <c r="AM51" i="2"/>
  <c r="AN51" i="2" s="1"/>
  <c r="AL51" i="2"/>
  <c r="F51" i="2"/>
  <c r="AL50" i="2"/>
  <c r="AM50" i="2" s="1"/>
  <c r="AN50" i="2" s="1"/>
  <c r="F50" i="2"/>
  <c r="AL49" i="2"/>
  <c r="AM49" i="2" s="1"/>
  <c r="AN49" i="2" s="1"/>
  <c r="F49" i="2"/>
  <c r="AM48" i="2"/>
  <c r="AN48" i="2" s="1"/>
  <c r="AL48" i="2"/>
  <c r="F48" i="2"/>
  <c r="AL47" i="2"/>
  <c r="AM47" i="2" s="1"/>
  <c r="AN47" i="2" s="1"/>
  <c r="F47" i="2"/>
  <c r="AL46" i="2"/>
  <c r="AM46" i="2" s="1"/>
  <c r="AN46" i="2" s="1"/>
  <c r="F46" i="2"/>
  <c r="AM45" i="2"/>
  <c r="AN45" i="2" s="1"/>
  <c r="AL45" i="2"/>
  <c r="F45" i="2"/>
  <c r="AL44" i="2"/>
  <c r="AM44" i="2" s="1"/>
  <c r="AN44" i="2" s="1"/>
  <c r="F44" i="2"/>
  <c r="AL43" i="2"/>
  <c r="AM43" i="2" s="1"/>
  <c r="AN43" i="2" s="1"/>
  <c r="F43" i="2"/>
  <c r="AM42" i="2"/>
  <c r="AN42" i="2" s="1"/>
  <c r="AL42" i="2"/>
  <c r="F42" i="2"/>
  <c r="AL41" i="2"/>
  <c r="AM41" i="2" s="1"/>
  <c r="AN41" i="2" s="1"/>
  <c r="F41" i="2"/>
  <c r="AL40" i="2"/>
  <c r="AM40" i="2" s="1"/>
  <c r="AN40" i="2" s="1"/>
  <c r="F40" i="2"/>
  <c r="AM39" i="2"/>
  <c r="AN39" i="2" s="1"/>
  <c r="AL39" i="2"/>
  <c r="F39" i="2"/>
  <c r="AL38" i="2"/>
  <c r="AM38" i="2" s="1"/>
  <c r="AN38" i="2" s="1"/>
  <c r="F38" i="2"/>
  <c r="AL37" i="2"/>
  <c r="AM37" i="2" s="1"/>
  <c r="AN37" i="2" s="1"/>
  <c r="F37" i="2"/>
  <c r="AM36" i="2"/>
  <c r="AN36" i="2" s="1"/>
  <c r="AL36" i="2"/>
  <c r="F36" i="2"/>
  <c r="AL35" i="2"/>
  <c r="AM35" i="2" s="1"/>
  <c r="AN35" i="2" s="1"/>
  <c r="F35" i="2"/>
  <c r="AL34" i="2"/>
  <c r="AM34" i="2" s="1"/>
  <c r="AN34" i="2" s="1"/>
  <c r="F34" i="2"/>
  <c r="AM33" i="2"/>
  <c r="AN33" i="2" s="1"/>
  <c r="AL33" i="2"/>
  <c r="F33" i="2"/>
  <c r="AL32" i="2"/>
  <c r="AM32" i="2" s="1"/>
  <c r="AN32" i="2" s="1"/>
  <c r="F32" i="2"/>
  <c r="AL31" i="2"/>
  <c r="AM31" i="2" s="1"/>
  <c r="AN31" i="2" s="1"/>
  <c r="F31" i="2"/>
  <c r="AM30" i="2"/>
  <c r="AN30" i="2" s="1"/>
  <c r="AL30" i="2"/>
  <c r="F30" i="2"/>
  <c r="AL29" i="2"/>
  <c r="AM29" i="2" s="1"/>
  <c r="AN29" i="2" s="1"/>
  <c r="F29" i="2"/>
  <c r="AL28" i="2"/>
  <c r="AM28" i="2" s="1"/>
  <c r="AN28" i="2" s="1"/>
  <c r="F28" i="2"/>
  <c r="AM27" i="2"/>
  <c r="AN27" i="2" s="1"/>
  <c r="AL27" i="2"/>
  <c r="F27" i="2"/>
  <c r="AL26" i="2"/>
  <c r="AM26" i="2" s="1"/>
  <c r="AN26" i="2" s="1"/>
  <c r="F26" i="2"/>
  <c r="AL25" i="2"/>
  <c r="AM25" i="2" s="1"/>
  <c r="AN25" i="2" s="1"/>
  <c r="F25" i="2"/>
  <c r="AL24" i="2"/>
  <c r="AM24" i="2" s="1"/>
  <c r="AN24" i="2" s="1"/>
  <c r="F24" i="2"/>
  <c r="AL23" i="2"/>
  <c r="AM23" i="2" s="1"/>
  <c r="AN23" i="2" s="1"/>
  <c r="F23" i="2"/>
  <c r="AL22" i="2"/>
  <c r="AM22" i="2" s="1"/>
  <c r="AN22" i="2" s="1"/>
  <c r="F22" i="2"/>
  <c r="AL21" i="2"/>
  <c r="AM21" i="2" s="1"/>
  <c r="AN21" i="2" s="1"/>
  <c r="F21" i="2"/>
  <c r="AL20" i="2"/>
  <c r="AM20" i="2" s="1"/>
  <c r="AN20" i="2" s="1"/>
  <c r="F20" i="2"/>
  <c r="AL19" i="2"/>
  <c r="AM19" i="2" s="1"/>
  <c r="AN19" i="2" s="1"/>
  <c r="F19" i="2"/>
  <c r="AM18" i="2"/>
  <c r="AN18" i="2" s="1"/>
  <c r="AL18" i="2"/>
  <c r="F18" i="2"/>
  <c r="AL17" i="2"/>
  <c r="AM17" i="2" s="1"/>
  <c r="AN17" i="2" s="1"/>
  <c r="F17" i="2"/>
  <c r="AL16" i="2"/>
  <c r="AM16" i="2" s="1"/>
  <c r="AN16" i="2" s="1"/>
  <c r="F16" i="2"/>
  <c r="AL15" i="2"/>
  <c r="AM15" i="2" s="1"/>
  <c r="AN15" i="2" s="1"/>
  <c r="F15" i="2"/>
  <c r="AL14" i="2"/>
  <c r="AM14" i="2" s="1"/>
  <c r="AN14" i="2" s="1"/>
  <c r="F14" i="2"/>
  <c r="AL13" i="2"/>
  <c r="AM13" i="2" s="1"/>
  <c r="AN13" i="2" s="1"/>
  <c r="F13" i="2"/>
  <c r="AL12" i="2"/>
  <c r="AM12" i="2" s="1"/>
  <c r="AN12" i="2" s="1"/>
  <c r="F12" i="2"/>
  <c r="AL11" i="2"/>
  <c r="AM11" i="2" s="1"/>
  <c r="AN11" i="2" s="1"/>
  <c r="F11" i="2"/>
  <c r="AL10" i="2"/>
  <c r="AM10" i="2" s="1"/>
  <c r="AN10" i="2" s="1"/>
  <c r="F10" i="2"/>
  <c r="AL9" i="2"/>
  <c r="AM9" i="2" s="1"/>
  <c r="AN9" i="2" s="1"/>
  <c r="F9" i="2"/>
  <c r="AL8" i="2"/>
  <c r="AM8" i="2" s="1"/>
  <c r="AN8" i="2" s="1"/>
  <c r="F8" i="2"/>
  <c r="AL7" i="2"/>
  <c r="AM7" i="2" s="1"/>
  <c r="F7" i="2"/>
  <c r="F75" i="2" s="1"/>
  <c r="AM75" i="2" l="1"/>
  <c r="AN7" i="2"/>
  <c r="AN75" i="2" s="1"/>
</calcChain>
</file>

<file path=xl/sharedStrings.xml><?xml version="1.0" encoding="utf-8"?>
<sst xmlns="http://schemas.openxmlformats.org/spreadsheetml/2006/main" count="179" uniqueCount="89">
  <si>
    <t>MANOLETE</t>
  </si>
  <si>
    <t>Cód.Art.</t>
  </si>
  <si>
    <t>Artículo</t>
  </si>
  <si>
    <t>Cnt.Stk.</t>
  </si>
  <si>
    <t>Frm.Stk.</t>
  </si>
  <si>
    <t>Prc.Med.EUR</t>
  </si>
  <si>
    <t>Total EUR</t>
  </si>
  <si>
    <t>HEL NESTLE ALMENDRADO C/VAINILLA 20 UD</t>
  </si>
  <si>
    <t>UNIDAD</t>
  </si>
  <si>
    <t>HEL NESTLE CARAMELO/MACADAMIA 20 UDS</t>
  </si>
  <si>
    <t>HEL NESTLE CONO EXTREME CARAMELO SALADO</t>
  </si>
  <si>
    <t>HEL NESTLE CONO KIT KAT VAIN-CHOC 16 UDS</t>
  </si>
  <si>
    <t>HEL NESTLE MAXIBON COOKIES 24 UDS</t>
  </si>
  <si>
    <t>HEL NESTLE MAXIBON NATA 24 UDS</t>
  </si>
  <si>
    <t>HEL NESTLE PIRULO COOL FRESA 24 UDS</t>
  </si>
  <si>
    <t>HEL NESTLE PIRULO COOL LIMON 24 UD</t>
  </si>
  <si>
    <t>HEL NESTLE PIRULO MIKOLAPIZ 20 UD</t>
  </si>
  <si>
    <t>HEL NESTLE PIRULO SANDIA 36 UDS</t>
  </si>
  <si>
    <t>HEL NESTLE SANDWICH OREO 24 UDS</t>
  </si>
  <si>
    <t>APERITIVO APEROL 100 CL</t>
  </si>
  <si>
    <t>BOTELLA</t>
  </si>
  <si>
    <t>APERITIVO CAMPARI 100 CL</t>
  </si>
  <si>
    <t>APERITIVO MARTINI BLANCO DULCE 100 CL</t>
  </si>
  <si>
    <t>APERITIVO MARTINI ROJO 100 CL</t>
  </si>
  <si>
    <t>VERMUT BENDITO BIB 20 LT</t>
  </si>
  <si>
    <t>LITRO</t>
  </si>
  <si>
    <t>VERMUT MANUEL ARAGON 75 CL</t>
  </si>
  <si>
    <t>VERMUT ST PETRONI ROJO 1 LT</t>
  </si>
  <si>
    <t>VERMUT YZAGUIRRE ROJO 1 LT</t>
  </si>
  <si>
    <t>VINO GEN CHICLANERO 75 CL</t>
  </si>
  <si>
    <t>VINO GEN MOSCATEL 75 CL</t>
  </si>
  <si>
    <t>VINO GEN OLOROSO CHICLANERO 75 CL</t>
  </si>
  <si>
    <t>CERVEZA ALHAMBRA RESERVA 1925 C/R 33 CL</t>
  </si>
  <si>
    <t>CERVEZA BARRIL MAHOU CLASICA 30 LT</t>
  </si>
  <si>
    <t>CERVEZA MAHOU MAESTRA S/R 33 CL</t>
  </si>
  <si>
    <t>CERVEZA SAN MIGUEL S/GLUTEN SR 33 CL</t>
  </si>
  <si>
    <t>CERVEZA SIN ALCOHOL MAHOU TOSTADA C/R 33 CL</t>
  </si>
  <si>
    <t>CERVEZA SIN ALCOHOL S.M 0'0 33 CL</t>
  </si>
  <si>
    <t>LICOR BAILEY'S 100 CL</t>
  </si>
  <si>
    <t>LICOR LIMONCELLO VILLA MASSA 70 CL</t>
  </si>
  <si>
    <t>LICOR PACHARAN ZOCO 100 CL</t>
  </si>
  <si>
    <t>LICOR MANZANA S/ALCOHOL 70 CL</t>
  </si>
  <si>
    <t>REFRESCO BIB COCA COLA</t>
  </si>
  <si>
    <t>REFRESCO BIB COCA COLA ZERO</t>
  </si>
  <si>
    <t>REFRESCO BIB FANTA LIMON ZERO</t>
  </si>
  <si>
    <t>REFRESCO BIB FANTA NARANJA ZERO</t>
  </si>
  <si>
    <t>REFRESCO BIB SPRITE ZERO</t>
  </si>
  <si>
    <t>REFRESCO CRISTAL COCA COLA C/R 23.7 CL</t>
  </si>
  <si>
    <t>REFRESCO CRISTAL COCA COLA ZERO C/R 23.7 CL</t>
  </si>
  <si>
    <t>REFRESCO CRISTAL FANTA LIMON C/R 23.7 CL</t>
  </si>
  <si>
    <t>REFRESCO CRISTAL FANTA NARANJA C/R 23.7 CL</t>
  </si>
  <si>
    <t>REFRESCO CRISTAL SPRITE C/R 20 CL</t>
  </si>
  <si>
    <t>REFRESCO CRISTAL TONICA NORDIC MIST C/R 20 CL</t>
  </si>
  <si>
    <t>REFRESCO BIB FUZE TEA LIMON S/AZUCAR</t>
  </si>
  <si>
    <t>VINO BCO BARBADILLO MOSCATO FRIZZANTE 75 CL</t>
  </si>
  <si>
    <t>VINO BCO BICICLETAS Y PECES SAUVIGNON BLANC ECO 75 CL</t>
  </si>
  <si>
    <t>VINO BCO CARPATHIA 75 CL</t>
  </si>
  <si>
    <t>VINO BCO CASTILLO SAN DIEGO 75 CL</t>
  </si>
  <si>
    <t>VINO BCO CONDE CARALT SEMI 75 CL</t>
  </si>
  <si>
    <t>VINO BCO FILLABOA 75 CL</t>
  </si>
  <si>
    <t>VINO BCO IRACHE 75 CL</t>
  </si>
  <si>
    <t>VINO BCO JOSE PARIENTE VERDEJO 75 CL</t>
  </si>
  <si>
    <t>VINO BCO SECO PARAMUS 75 CL</t>
  </si>
  <si>
    <t>VINO BCO SEMI DULCE MAESTRANTE 75 CL</t>
  </si>
  <si>
    <t>VINO RDO AÑARES 75 CL</t>
  </si>
  <si>
    <t>VINO RDO BARBADILLO 75 CL</t>
  </si>
  <si>
    <t>VINO RDO BICICLETAS Y PECES 75 CL</t>
  </si>
  <si>
    <t>VINO RDO PARAMUS 75 CL</t>
  </si>
  <si>
    <t>VINO RDO RAMON BILBAO 75 CL</t>
  </si>
  <si>
    <t>VINO TTO CARPATHIA 75 CL</t>
  </si>
  <si>
    <t>VINO TTO CELESTE ROBLE 75 CL</t>
  </si>
  <si>
    <t>VINO TTO IRACHE 75 CL</t>
  </si>
  <si>
    <t>VINO TTO ORUBE CRI 75 CL</t>
  </si>
  <si>
    <t>VINO TTO PARAMUS 75 CL</t>
  </si>
  <si>
    <t>VINO TTO PESQUERA CRI 75 CL</t>
  </si>
  <si>
    <t>VINO TTO RAMON BILBAO VIÑEDOS DE ALTURA 75 CL</t>
  </si>
  <si>
    <t>VINO TTO VALDUBON ROBLE 75 CL</t>
  </si>
  <si>
    <t>VINO TTO VIÑA MAGNA CRI 75 CL</t>
  </si>
  <si>
    <t>ESTOCAJE  INICIAL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</si>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</sst>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9"/>
      <color theme="1"/>
      <name val="Calibri"/>
      <scheme val="minor"/>
    </font>
    <font>
      <b/>
      <sz val="18"/>
      <color rgb="FF333399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b/>
      <sz val="11"/>
      <color theme="1"/>
      <name val="Calibri"/>
      <scheme val="minor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sz val="11"/>
      <name val="Calibri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69138"/>
        <bgColor rgb="FFE69138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4" fillId="3" borderId="1" xfId="0" applyFont="1" applyFill="1" applyBorder="1"/>
    <xf numFmtId="0" fontId="4" fillId="4" borderId="2" xfId="0" applyFont="1" applyFill="1" applyBorder="1"/>
    <xf numFmtId="0" fontId="4" fillId="4" borderId="1" xfId="0" applyFont="1" applyFill="1" applyBorder="1"/>
    <xf numFmtId="4" fontId="4" fillId="4" borderId="3" xfId="0" applyNumberFormat="1" applyFont="1" applyFill="1" applyBorder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4" fontId="1" fillId="5" borderId="0" xfId="0" applyNumberFormat="1" applyFont="1" applyFill="1"/>
    <xf numFmtId="0" fontId="7" fillId="0" borderId="0" xfId="0" applyFont="1"/>
    <xf numFmtId="0" fontId="8" fillId="4" borderId="0" xfId="0" applyFont="1" applyFill="1"/>
    <xf numFmtId="4" fontId="5" fillId="0" borderId="4" xfId="0" applyNumberFormat="1" applyFont="1" applyBorder="1" applyAlignment="1">
      <alignment horizontal="right"/>
    </xf>
    <xf numFmtId="2" fontId="5" fillId="0" borderId="0" xfId="0" applyNumberFormat="1" applyFont="1"/>
    <xf numFmtId="0" fontId="9" fillId="7" borderId="0" xfId="0" applyFont="1" applyFill="1"/>
    <xf numFmtId="0" fontId="10" fillId="8" borderId="5" xfId="0" applyFont="1" applyFill="1" applyBorder="1" applyAlignment="1">
      <alignment horizontal="center"/>
    </xf>
    <xf numFmtId="0" fontId="10" fillId="9" borderId="5" xfId="0" applyFont="1" applyFill="1" applyBorder="1" applyAlignment="1">
      <alignment horizontal="center"/>
    </xf>
    <xf numFmtId="0" fontId="10" fillId="8" borderId="4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2" fontId="5" fillId="8" borderId="5" xfId="0" applyNumberFormat="1" applyFont="1" applyFill="1" applyBorder="1"/>
    <xf numFmtId="2" fontId="10" fillId="8" borderId="5" xfId="0" applyNumberFormat="1" applyFont="1" applyFill="1" applyBorder="1" applyAlignment="1">
      <alignment horizontal="center"/>
    </xf>
    <xf numFmtId="0" fontId="5" fillId="0" borderId="4" xfId="0" applyFont="1" applyBorder="1"/>
    <xf numFmtId="0" fontId="5" fillId="6" borderId="9" xfId="0" applyFont="1" applyFill="1" applyBorder="1" applyAlignment="1">
      <alignment horizontal="right"/>
    </xf>
    <xf numFmtId="0" fontId="5" fillId="0" borderId="9" xfId="0" applyFont="1" applyBorder="1" applyAlignment="1">
      <alignment horizontal="right"/>
    </xf>
    <xf numFmtId="2" fontId="14" fillId="10" borderId="4" xfId="0" applyNumberFormat="1" applyFont="1" applyFill="1" applyBorder="1" applyAlignment="1">
      <alignment horizontal="right"/>
    </xf>
    <xf numFmtId="0" fontId="7" fillId="11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/>
    <xf numFmtId="0" fontId="11" fillId="8" borderId="7" xfId="0" applyFont="1" applyFill="1" applyBorder="1" applyAlignment="1">
      <alignment horizontal="center"/>
    </xf>
    <xf numFmtId="0" fontId="13" fillId="0" borderId="8" xfId="0" applyFont="1" applyBorder="1"/>
    <xf numFmtId="0" fontId="12" fillId="8" borderId="7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0075" cy="628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abSelected="1" zoomScale="70" zoomScaleNormal="70" workbookViewId="0">
      <selection activeCell="N14" sqref="N14"/>
    </sheetView>
  </sheetViews>
  <sheetFormatPr baseColWidth="10" defaultColWidth="14.44140625" defaultRowHeight="15" customHeight="1" x14ac:dyDescent="0.3"/>
  <cols>
    <col min="1" max="1" width="7.6640625" customWidth="1"/>
    <col min="2" max="2" width="52.6640625" customWidth="1"/>
    <col min="3" max="3" width="6.6640625" customWidth="1"/>
    <col min="4" max="4" width="9.5546875" customWidth="1"/>
    <col min="5" max="5" width="10.33203125" customWidth="1"/>
    <col min="6" max="6" width="9.6640625" customWidth="1"/>
    <col min="7" max="37" width="4.5546875" customWidth="1"/>
    <col min="38" max="38" width="9.5546875" customWidth="1"/>
    <col min="39" max="39" width="19.88671875" customWidth="1"/>
    <col min="40" max="40" width="11.88671875" customWidth="1"/>
  </cols>
  <sheetData>
    <row r="1" spans="1:40" ht="14.4" x14ac:dyDescent="0.3">
      <c r="E1" s="1"/>
      <c r="F1" s="1"/>
    </row>
    <row r="2" spans="1:40" ht="14.4" x14ac:dyDescent="0.3">
      <c r="E2" s="1"/>
      <c r="F2" s="1"/>
    </row>
    <row r="3" spans="1:40" ht="25.2" x14ac:dyDescent="0.5">
      <c r="E3" s="1"/>
      <c r="F3" s="1"/>
      <c r="R3" s="28" t="s">
        <v>0</v>
      </c>
      <c r="S3" s="29"/>
      <c r="T3" s="29"/>
      <c r="U3" s="29"/>
      <c r="V3" s="29"/>
      <c r="W3" s="29"/>
      <c r="X3" s="29"/>
      <c r="Y3" s="16">
        <v>31</v>
      </c>
    </row>
    <row r="4" spans="1:40" ht="23.25" customHeight="1" x14ac:dyDescent="0.5">
      <c r="B4" s="2" t="s">
        <v>0</v>
      </c>
      <c r="E4" s="1"/>
      <c r="F4" s="1"/>
      <c r="H4" s="3"/>
    </row>
    <row r="5" spans="1:40" ht="17.399999999999999" x14ac:dyDescent="0.45">
      <c r="E5" s="1"/>
      <c r="F5" s="1"/>
      <c r="G5" s="17" t="s">
        <v>79</v>
      </c>
      <c r="H5" s="17" t="s">
        <v>80</v>
      </c>
      <c r="I5" s="17" t="s">
        <v>81</v>
      </c>
      <c r="J5" s="18" t="s">
        <v>82</v>
      </c>
      <c r="K5" s="18" t="s">
        <v>83</v>
      </c>
      <c r="L5" s="19" t="s">
        <v>84</v>
      </c>
      <c r="M5" s="17" t="s">
        <v>85</v>
      </c>
      <c r="N5" s="17" t="s">
        <v>79</v>
      </c>
      <c r="O5" s="17" t="s">
        <v>80</v>
      </c>
      <c r="P5" s="17" t="s">
        <v>81</v>
      </c>
      <c r="Q5" s="18" t="s">
        <v>82</v>
      </c>
      <c r="R5" s="18" t="s">
        <v>83</v>
      </c>
      <c r="S5" s="19" t="s">
        <v>84</v>
      </c>
      <c r="T5" s="17" t="s">
        <v>85</v>
      </c>
      <c r="U5" s="17" t="s">
        <v>79</v>
      </c>
      <c r="V5" s="17" t="s">
        <v>80</v>
      </c>
      <c r="W5" s="17" t="s">
        <v>81</v>
      </c>
      <c r="X5" s="18" t="s">
        <v>82</v>
      </c>
      <c r="Y5" s="18" t="s">
        <v>83</v>
      </c>
      <c r="Z5" s="19" t="s">
        <v>84</v>
      </c>
      <c r="AA5" s="17" t="s">
        <v>85</v>
      </c>
      <c r="AB5" s="17" t="s">
        <v>79</v>
      </c>
      <c r="AC5" s="17" t="s">
        <v>80</v>
      </c>
      <c r="AD5" s="17" t="s">
        <v>81</v>
      </c>
      <c r="AE5" s="18" t="s">
        <v>82</v>
      </c>
      <c r="AF5" s="18" t="s">
        <v>83</v>
      </c>
      <c r="AG5" s="19" t="s">
        <v>84</v>
      </c>
      <c r="AH5" s="17" t="s">
        <v>85</v>
      </c>
      <c r="AI5" s="17" t="s">
        <v>79</v>
      </c>
      <c r="AJ5" s="17" t="s">
        <v>80</v>
      </c>
      <c r="AK5" s="20" t="s">
        <v>81</v>
      </c>
      <c r="AL5" s="30" t="s">
        <v>86</v>
      </c>
      <c r="AM5" s="32" t="s">
        <v>87</v>
      </c>
      <c r="AN5" s="21"/>
    </row>
    <row r="6" spans="1:40" ht="17.399999999999999" x14ac:dyDescent="0.45">
      <c r="A6" s="4" t="s">
        <v>1</v>
      </c>
      <c r="B6" s="4" t="s">
        <v>2</v>
      </c>
      <c r="C6" s="5" t="s">
        <v>3</v>
      </c>
      <c r="D6" s="6" t="s">
        <v>4</v>
      </c>
      <c r="E6" s="7" t="s">
        <v>5</v>
      </c>
      <c r="F6" s="7" t="s">
        <v>6</v>
      </c>
      <c r="G6" s="17">
        <v>1</v>
      </c>
      <c r="H6" s="17">
        <v>2</v>
      </c>
      <c r="I6" s="17">
        <v>3</v>
      </c>
      <c r="J6" s="18">
        <v>4</v>
      </c>
      <c r="K6" s="18">
        <v>5</v>
      </c>
      <c r="L6" s="17">
        <v>6</v>
      </c>
      <c r="M6" s="17">
        <v>7</v>
      </c>
      <c r="N6" s="17">
        <v>8</v>
      </c>
      <c r="O6" s="17">
        <v>9</v>
      </c>
      <c r="P6" s="17">
        <v>10</v>
      </c>
      <c r="Q6" s="18">
        <v>11</v>
      </c>
      <c r="R6" s="18">
        <v>12</v>
      </c>
      <c r="S6" s="17">
        <v>13</v>
      </c>
      <c r="T6" s="17">
        <v>14</v>
      </c>
      <c r="U6" s="17">
        <v>15</v>
      </c>
      <c r="V6" s="17">
        <v>16</v>
      </c>
      <c r="W6" s="17">
        <v>17</v>
      </c>
      <c r="X6" s="18">
        <v>18</v>
      </c>
      <c r="Y6" s="18">
        <v>19</v>
      </c>
      <c r="Z6" s="17">
        <v>20</v>
      </c>
      <c r="AA6" s="17">
        <v>21</v>
      </c>
      <c r="AB6" s="17">
        <v>22</v>
      </c>
      <c r="AC6" s="17">
        <v>23</v>
      </c>
      <c r="AD6" s="17">
        <v>24</v>
      </c>
      <c r="AE6" s="18">
        <v>25</v>
      </c>
      <c r="AF6" s="18">
        <v>26</v>
      </c>
      <c r="AG6" s="17">
        <v>27</v>
      </c>
      <c r="AH6" s="17">
        <v>28</v>
      </c>
      <c r="AI6" s="17">
        <v>29</v>
      </c>
      <c r="AJ6" s="17">
        <v>30</v>
      </c>
      <c r="AK6" s="20">
        <v>31</v>
      </c>
      <c r="AL6" s="31"/>
      <c r="AM6" s="31"/>
      <c r="AN6" s="22" t="s">
        <v>88</v>
      </c>
    </row>
    <row r="7" spans="1:40" ht="20.25" customHeight="1" x14ac:dyDescent="0.3">
      <c r="A7" s="8">
        <v>22779</v>
      </c>
      <c r="B7" s="9" t="s">
        <v>7</v>
      </c>
      <c r="C7" s="12">
        <v>0</v>
      </c>
      <c r="D7" s="10" t="s">
        <v>8</v>
      </c>
      <c r="E7" s="1">
        <v>1.49427</v>
      </c>
      <c r="F7" s="11">
        <f t="shared" ref="F7:F74" si="0">C7*E7</f>
        <v>0</v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4">
        <f t="shared" ref="AL7:AL74" si="1">SUM(G7:AK7)</f>
        <v>0</v>
      </c>
      <c r="AM7" s="25">
        <f t="shared" ref="AM7:AM74" si="2">SUM(C7,AL7)</f>
        <v>0</v>
      </c>
      <c r="AN7" s="26">
        <f t="shared" ref="AN7:AN74" si="3">E7*AM7</f>
        <v>0</v>
      </c>
    </row>
    <row r="8" spans="1:40" ht="20.25" customHeight="1" x14ac:dyDescent="0.3">
      <c r="A8" s="8">
        <v>24964</v>
      </c>
      <c r="B8" s="9" t="s">
        <v>9</v>
      </c>
      <c r="C8" s="12"/>
      <c r="D8" s="10" t="s">
        <v>8</v>
      </c>
      <c r="E8" s="1">
        <v>1.49427</v>
      </c>
      <c r="F8" s="11">
        <f t="shared" si="0"/>
        <v>0</v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4">
        <f t="shared" si="1"/>
        <v>0</v>
      </c>
      <c r="AM8" s="25">
        <f t="shared" si="2"/>
        <v>0</v>
      </c>
      <c r="AN8" s="26">
        <f t="shared" si="3"/>
        <v>0</v>
      </c>
    </row>
    <row r="9" spans="1:40" ht="20.25" customHeight="1" x14ac:dyDescent="0.3">
      <c r="A9" s="8">
        <v>28126</v>
      </c>
      <c r="B9" s="9" t="s">
        <v>10</v>
      </c>
      <c r="C9" s="12">
        <v>0</v>
      </c>
      <c r="D9" s="10" t="s">
        <v>8</v>
      </c>
      <c r="E9" s="1">
        <v>1.3943000000000001</v>
      </c>
      <c r="F9" s="11">
        <f t="shared" si="0"/>
        <v>0</v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4">
        <f t="shared" si="1"/>
        <v>0</v>
      </c>
      <c r="AM9" s="25">
        <f t="shared" si="2"/>
        <v>0</v>
      </c>
      <c r="AN9" s="26">
        <f t="shared" si="3"/>
        <v>0</v>
      </c>
    </row>
    <row r="10" spans="1:40" ht="20.25" customHeight="1" x14ac:dyDescent="0.3">
      <c r="A10" s="8">
        <v>21193</v>
      </c>
      <c r="B10" s="9" t="s">
        <v>11</v>
      </c>
      <c r="C10" s="12">
        <v>0</v>
      </c>
      <c r="D10" s="10" t="s">
        <v>8</v>
      </c>
      <c r="E10" s="1">
        <v>1.5232699999999999</v>
      </c>
      <c r="F10" s="11">
        <f t="shared" si="0"/>
        <v>0</v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4">
        <f t="shared" si="1"/>
        <v>0</v>
      </c>
      <c r="AM10" s="25">
        <f t="shared" si="2"/>
        <v>0</v>
      </c>
      <c r="AN10" s="26">
        <f t="shared" si="3"/>
        <v>0</v>
      </c>
    </row>
    <row r="11" spans="1:40" ht="20.25" customHeight="1" x14ac:dyDescent="0.3">
      <c r="A11" s="8">
        <v>7585</v>
      </c>
      <c r="B11" s="9" t="s">
        <v>12</v>
      </c>
      <c r="C11" s="12">
        <v>4</v>
      </c>
      <c r="D11" s="10" t="s">
        <v>8</v>
      </c>
      <c r="E11" s="1">
        <v>1.3768</v>
      </c>
      <c r="F11" s="11">
        <f t="shared" si="0"/>
        <v>5.5072000000000001</v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4">
        <f t="shared" si="1"/>
        <v>0</v>
      </c>
      <c r="AM11" s="25">
        <f t="shared" si="2"/>
        <v>4</v>
      </c>
      <c r="AN11" s="26">
        <f t="shared" si="3"/>
        <v>5.5072000000000001</v>
      </c>
    </row>
    <row r="12" spans="1:40" ht="20.25" customHeight="1" x14ac:dyDescent="0.3">
      <c r="A12" s="8">
        <v>4779</v>
      </c>
      <c r="B12" s="9" t="s">
        <v>13</v>
      </c>
      <c r="C12" s="12">
        <v>1</v>
      </c>
      <c r="D12" s="10" t="s">
        <v>8</v>
      </c>
      <c r="E12" s="1">
        <v>1.3769499999999999</v>
      </c>
      <c r="F12" s="11">
        <f t="shared" si="0"/>
        <v>1.3769499999999999</v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4">
        <f t="shared" si="1"/>
        <v>0</v>
      </c>
      <c r="AM12" s="25">
        <f t="shared" si="2"/>
        <v>1</v>
      </c>
      <c r="AN12" s="26">
        <f t="shared" si="3"/>
        <v>1.3769499999999999</v>
      </c>
    </row>
    <row r="13" spans="1:40" ht="20.25" customHeight="1" x14ac:dyDescent="0.3">
      <c r="A13" s="8">
        <v>7588</v>
      </c>
      <c r="B13" s="9" t="s">
        <v>14</v>
      </c>
      <c r="C13" s="12">
        <v>0</v>
      </c>
      <c r="D13" s="10" t="s">
        <v>8</v>
      </c>
      <c r="E13" s="1">
        <v>0.70182999999999995</v>
      </c>
      <c r="F13" s="11">
        <f t="shared" si="0"/>
        <v>0</v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4">
        <f t="shared" si="1"/>
        <v>0</v>
      </c>
      <c r="AM13" s="25">
        <f t="shared" si="2"/>
        <v>0</v>
      </c>
      <c r="AN13" s="26">
        <f t="shared" si="3"/>
        <v>0</v>
      </c>
    </row>
    <row r="14" spans="1:40" ht="20.25" customHeight="1" x14ac:dyDescent="0.3">
      <c r="A14" s="8">
        <v>23983</v>
      </c>
      <c r="B14" s="9" t="s">
        <v>15</v>
      </c>
      <c r="C14" s="12">
        <v>2</v>
      </c>
      <c r="D14" s="10" t="s">
        <v>8</v>
      </c>
      <c r="E14" s="1">
        <v>0.70182999999999995</v>
      </c>
      <c r="F14" s="11">
        <f t="shared" si="0"/>
        <v>1.4036599999999999</v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4">
        <f t="shared" si="1"/>
        <v>0</v>
      </c>
      <c r="AM14" s="25">
        <f t="shared" si="2"/>
        <v>2</v>
      </c>
      <c r="AN14" s="26">
        <f t="shared" si="3"/>
        <v>1.4036599999999999</v>
      </c>
    </row>
    <row r="15" spans="1:40" ht="20.25" customHeight="1" x14ac:dyDescent="0.3">
      <c r="A15" s="8">
        <v>23974</v>
      </c>
      <c r="B15" s="9" t="s">
        <v>16</v>
      </c>
      <c r="C15" s="12">
        <v>0</v>
      </c>
      <c r="D15" s="10" t="s">
        <v>8</v>
      </c>
      <c r="E15" s="1">
        <v>0.81189999999999996</v>
      </c>
      <c r="F15" s="11">
        <f t="shared" si="0"/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>
        <f t="shared" si="1"/>
        <v>0</v>
      </c>
      <c r="AM15" s="25">
        <f t="shared" si="2"/>
        <v>0</v>
      </c>
      <c r="AN15" s="26">
        <f t="shared" si="3"/>
        <v>0</v>
      </c>
    </row>
    <row r="16" spans="1:40" ht="20.25" customHeight="1" x14ac:dyDescent="0.3">
      <c r="A16" s="8">
        <v>17150</v>
      </c>
      <c r="B16" s="9" t="s">
        <v>17</v>
      </c>
      <c r="C16" s="12">
        <v>0</v>
      </c>
      <c r="D16" s="10" t="s">
        <v>8</v>
      </c>
      <c r="E16" s="1">
        <v>0.70630999999999999</v>
      </c>
      <c r="F16" s="11">
        <f t="shared" si="0"/>
        <v>0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4">
        <f t="shared" si="1"/>
        <v>0</v>
      </c>
      <c r="AM16" s="25">
        <f t="shared" si="2"/>
        <v>0</v>
      </c>
      <c r="AN16" s="26">
        <f t="shared" si="3"/>
        <v>0</v>
      </c>
    </row>
    <row r="17" spans="1:40" ht="20.25" customHeight="1" x14ac:dyDescent="0.3">
      <c r="A17" s="8">
        <v>19180</v>
      </c>
      <c r="B17" s="9" t="s">
        <v>18</v>
      </c>
      <c r="C17" s="12">
        <v>0</v>
      </c>
      <c r="D17" s="10" t="s">
        <v>8</v>
      </c>
      <c r="E17" s="1">
        <v>1.4451000000000001</v>
      </c>
      <c r="F17" s="11">
        <f t="shared" si="0"/>
        <v>0</v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4">
        <f t="shared" si="1"/>
        <v>0</v>
      </c>
      <c r="AM17" s="25">
        <f t="shared" si="2"/>
        <v>0</v>
      </c>
      <c r="AN17" s="26">
        <f t="shared" si="3"/>
        <v>0</v>
      </c>
    </row>
    <row r="18" spans="1:40" ht="20.25" customHeight="1" x14ac:dyDescent="0.3">
      <c r="A18" s="8">
        <v>13385</v>
      </c>
      <c r="B18" s="9" t="s">
        <v>19</v>
      </c>
      <c r="C18" s="12">
        <v>0</v>
      </c>
      <c r="D18" s="10" t="s">
        <v>20</v>
      </c>
      <c r="E18" s="1">
        <v>11.03158</v>
      </c>
      <c r="F18" s="11">
        <f t="shared" si="0"/>
        <v>0</v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4">
        <f t="shared" si="1"/>
        <v>0</v>
      </c>
      <c r="AM18" s="25">
        <f t="shared" si="2"/>
        <v>0</v>
      </c>
      <c r="AN18" s="26">
        <f t="shared" si="3"/>
        <v>0</v>
      </c>
    </row>
    <row r="19" spans="1:40" ht="20.25" customHeight="1" x14ac:dyDescent="0.3">
      <c r="A19" s="8">
        <v>1460</v>
      </c>
      <c r="B19" s="9" t="s">
        <v>21</v>
      </c>
      <c r="C19" s="12">
        <v>1</v>
      </c>
      <c r="D19" s="10" t="s">
        <v>20</v>
      </c>
      <c r="E19" s="1">
        <v>13.999933</v>
      </c>
      <c r="F19" s="11">
        <f t="shared" si="0"/>
        <v>13.999933</v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4">
        <f t="shared" si="1"/>
        <v>0</v>
      </c>
      <c r="AM19" s="25">
        <f t="shared" si="2"/>
        <v>1</v>
      </c>
      <c r="AN19" s="26">
        <f t="shared" si="3"/>
        <v>13.999933</v>
      </c>
    </row>
    <row r="20" spans="1:40" ht="20.25" customHeight="1" x14ac:dyDescent="0.3">
      <c r="A20" s="8">
        <v>93</v>
      </c>
      <c r="B20" s="9" t="s">
        <v>22</v>
      </c>
      <c r="C20" s="12">
        <v>0</v>
      </c>
      <c r="D20" s="10" t="s">
        <v>20</v>
      </c>
      <c r="E20" s="1">
        <v>8.0440360000000002</v>
      </c>
      <c r="F20" s="11">
        <f t="shared" si="0"/>
        <v>0</v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4">
        <f t="shared" si="1"/>
        <v>0</v>
      </c>
      <c r="AM20" s="25">
        <f t="shared" si="2"/>
        <v>0</v>
      </c>
      <c r="AN20" s="26">
        <f t="shared" si="3"/>
        <v>0</v>
      </c>
    </row>
    <row r="21" spans="1:40" ht="20.25" customHeight="1" x14ac:dyDescent="0.3">
      <c r="A21" s="8">
        <v>99</v>
      </c>
      <c r="B21" s="9" t="s">
        <v>23</v>
      </c>
      <c r="C21" s="12">
        <v>0</v>
      </c>
      <c r="D21" s="10" t="s">
        <v>20</v>
      </c>
      <c r="E21" s="1">
        <v>8.052308</v>
      </c>
      <c r="F21" s="11">
        <f t="shared" si="0"/>
        <v>0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>
        <f t="shared" si="1"/>
        <v>0</v>
      </c>
      <c r="AM21" s="25">
        <f t="shared" si="2"/>
        <v>0</v>
      </c>
      <c r="AN21" s="26">
        <f t="shared" si="3"/>
        <v>0</v>
      </c>
    </row>
    <row r="22" spans="1:40" ht="20.25" customHeight="1" x14ac:dyDescent="0.3">
      <c r="A22" s="8">
        <v>29027</v>
      </c>
      <c r="B22" s="9" t="s">
        <v>24</v>
      </c>
      <c r="C22" s="12">
        <v>10</v>
      </c>
      <c r="D22" s="10" t="s">
        <v>25</v>
      </c>
      <c r="E22" s="1">
        <v>3.3810500000000001</v>
      </c>
      <c r="F22" s="11">
        <f t="shared" si="0"/>
        <v>33.810500000000005</v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4">
        <f t="shared" si="1"/>
        <v>0</v>
      </c>
      <c r="AM22" s="25">
        <f t="shared" si="2"/>
        <v>10</v>
      </c>
      <c r="AN22" s="26">
        <f t="shared" si="3"/>
        <v>33.810500000000005</v>
      </c>
    </row>
    <row r="23" spans="1:40" ht="20.25" customHeight="1" x14ac:dyDescent="0.3">
      <c r="A23" s="8">
        <v>27939</v>
      </c>
      <c r="B23" s="9" t="s">
        <v>26</v>
      </c>
      <c r="C23" s="12">
        <v>4</v>
      </c>
      <c r="D23" s="10" t="s">
        <v>20</v>
      </c>
      <c r="E23" s="1">
        <v>9.5</v>
      </c>
      <c r="F23" s="11">
        <f t="shared" si="0"/>
        <v>38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4">
        <f t="shared" si="1"/>
        <v>0</v>
      </c>
      <c r="AM23" s="25">
        <f t="shared" si="2"/>
        <v>4</v>
      </c>
      <c r="AN23" s="26">
        <f t="shared" si="3"/>
        <v>38</v>
      </c>
    </row>
    <row r="24" spans="1:40" ht="20.25" customHeight="1" x14ac:dyDescent="0.3">
      <c r="A24" s="8">
        <v>20588</v>
      </c>
      <c r="B24" s="9" t="s">
        <v>27</v>
      </c>
      <c r="C24" s="12">
        <v>5</v>
      </c>
      <c r="D24" s="10" t="s">
        <v>20</v>
      </c>
      <c r="E24" s="1">
        <v>11.2</v>
      </c>
      <c r="F24" s="11">
        <f t="shared" si="0"/>
        <v>56</v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4">
        <f t="shared" si="1"/>
        <v>0</v>
      </c>
      <c r="AM24" s="25">
        <f t="shared" si="2"/>
        <v>5</v>
      </c>
      <c r="AN24" s="26">
        <f t="shared" si="3"/>
        <v>56</v>
      </c>
    </row>
    <row r="25" spans="1:40" ht="20.25" customHeight="1" x14ac:dyDescent="0.3">
      <c r="A25" s="8">
        <v>27550</v>
      </c>
      <c r="B25" s="9" t="s">
        <v>28</v>
      </c>
      <c r="C25" s="12">
        <v>2</v>
      </c>
      <c r="D25" s="10" t="s">
        <v>20</v>
      </c>
      <c r="E25" s="1">
        <v>5.6</v>
      </c>
      <c r="F25" s="11">
        <f t="shared" si="0"/>
        <v>11.2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4">
        <f t="shared" si="1"/>
        <v>0</v>
      </c>
      <c r="AM25" s="25">
        <f t="shared" si="2"/>
        <v>2</v>
      </c>
      <c r="AN25" s="26">
        <f t="shared" si="3"/>
        <v>11.2</v>
      </c>
    </row>
    <row r="26" spans="1:40" ht="20.25" customHeight="1" x14ac:dyDescent="0.3">
      <c r="A26" s="8">
        <v>2133</v>
      </c>
      <c r="B26" s="9" t="s">
        <v>29</v>
      </c>
      <c r="C26" s="12">
        <v>1</v>
      </c>
      <c r="D26" s="10" t="s">
        <v>20</v>
      </c>
      <c r="E26" s="1">
        <v>4.897748</v>
      </c>
      <c r="F26" s="11">
        <f t="shared" si="0"/>
        <v>4.897748</v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4">
        <f t="shared" si="1"/>
        <v>0</v>
      </c>
      <c r="AM26" s="25">
        <f t="shared" si="2"/>
        <v>1</v>
      </c>
      <c r="AN26" s="26">
        <f t="shared" si="3"/>
        <v>4.897748</v>
      </c>
    </row>
    <row r="27" spans="1:40" ht="20.25" customHeight="1" x14ac:dyDescent="0.3">
      <c r="A27" s="8">
        <v>2112</v>
      </c>
      <c r="B27" s="9" t="s">
        <v>30</v>
      </c>
      <c r="C27" s="12">
        <v>1</v>
      </c>
      <c r="D27" s="10" t="s">
        <v>20</v>
      </c>
      <c r="E27" s="1">
        <v>5.4460759999999997</v>
      </c>
      <c r="F27" s="11">
        <f t="shared" si="0"/>
        <v>5.4460759999999997</v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4">
        <f t="shared" si="1"/>
        <v>0</v>
      </c>
      <c r="AM27" s="25">
        <f t="shared" si="2"/>
        <v>1</v>
      </c>
      <c r="AN27" s="26">
        <f t="shared" si="3"/>
        <v>5.4460759999999997</v>
      </c>
    </row>
    <row r="28" spans="1:40" ht="20.25" customHeight="1" x14ac:dyDescent="0.3">
      <c r="A28" s="8">
        <v>2135</v>
      </c>
      <c r="B28" s="9" t="s">
        <v>31</v>
      </c>
      <c r="C28" s="12">
        <v>1</v>
      </c>
      <c r="D28" s="10" t="s">
        <v>20</v>
      </c>
      <c r="E28" s="1">
        <v>5.2498379999999996</v>
      </c>
      <c r="F28" s="11">
        <f t="shared" si="0"/>
        <v>5.2498379999999996</v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4">
        <f t="shared" si="1"/>
        <v>0</v>
      </c>
      <c r="AM28" s="25">
        <f t="shared" si="2"/>
        <v>1</v>
      </c>
      <c r="AN28" s="26">
        <f t="shared" si="3"/>
        <v>5.2498379999999996</v>
      </c>
    </row>
    <row r="29" spans="1:40" ht="20.25" customHeight="1" x14ac:dyDescent="0.3">
      <c r="A29" s="8">
        <v>26949</v>
      </c>
      <c r="B29" s="9" t="s">
        <v>32</v>
      </c>
      <c r="C29" s="12">
        <v>12</v>
      </c>
      <c r="D29" s="10" t="s">
        <v>20</v>
      </c>
      <c r="E29" s="1">
        <v>0.75750200000000001</v>
      </c>
      <c r="F29" s="11">
        <f t="shared" si="0"/>
        <v>9.0900239999999997</v>
      </c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4">
        <f t="shared" si="1"/>
        <v>0</v>
      </c>
      <c r="AM29" s="25">
        <f t="shared" si="2"/>
        <v>12</v>
      </c>
      <c r="AN29" s="26">
        <f t="shared" si="3"/>
        <v>9.0900239999999997</v>
      </c>
    </row>
    <row r="30" spans="1:40" ht="20.25" customHeight="1" x14ac:dyDescent="0.3">
      <c r="A30" s="8">
        <v>8992</v>
      </c>
      <c r="B30" s="9" t="s">
        <v>33</v>
      </c>
      <c r="C30" s="12">
        <v>60</v>
      </c>
      <c r="D30" s="10" t="s">
        <v>25</v>
      </c>
      <c r="E30" s="1">
        <v>0.50231700000000001</v>
      </c>
      <c r="F30" s="11">
        <f t="shared" si="0"/>
        <v>30.139020000000002</v>
      </c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4">
        <f t="shared" si="1"/>
        <v>0</v>
      </c>
      <c r="AM30" s="25">
        <f t="shared" si="2"/>
        <v>60</v>
      </c>
      <c r="AN30" s="26">
        <f t="shared" si="3"/>
        <v>30.139020000000002</v>
      </c>
    </row>
    <row r="31" spans="1:40" ht="20.25" customHeight="1" x14ac:dyDescent="0.3">
      <c r="A31" s="8">
        <v>19221</v>
      </c>
      <c r="B31" s="9" t="s">
        <v>34</v>
      </c>
      <c r="C31" s="12">
        <v>10</v>
      </c>
      <c r="D31" s="10" t="s">
        <v>20</v>
      </c>
      <c r="E31" s="1">
        <v>1.081</v>
      </c>
      <c r="F31" s="11">
        <f t="shared" si="0"/>
        <v>10.809999999999999</v>
      </c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4">
        <f t="shared" si="1"/>
        <v>0</v>
      </c>
      <c r="AM31" s="25">
        <f t="shared" si="2"/>
        <v>10</v>
      </c>
      <c r="AN31" s="26">
        <f t="shared" si="3"/>
        <v>10.809999999999999</v>
      </c>
    </row>
    <row r="32" spans="1:40" ht="20.25" customHeight="1" x14ac:dyDescent="0.3">
      <c r="A32" s="8">
        <v>17627</v>
      </c>
      <c r="B32" s="9" t="s">
        <v>35</v>
      </c>
      <c r="C32" s="12">
        <v>0</v>
      </c>
      <c r="D32" s="10" t="s">
        <v>20</v>
      </c>
      <c r="E32" s="1">
        <v>0.75498399999999999</v>
      </c>
      <c r="F32" s="11">
        <f t="shared" si="0"/>
        <v>0</v>
      </c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4">
        <f t="shared" si="1"/>
        <v>0</v>
      </c>
      <c r="AM32" s="25">
        <f t="shared" si="2"/>
        <v>0</v>
      </c>
      <c r="AN32" s="26">
        <f t="shared" si="3"/>
        <v>0</v>
      </c>
    </row>
    <row r="33" spans="1:40" ht="20.25" customHeight="1" x14ac:dyDescent="0.3">
      <c r="A33" s="8">
        <v>25720</v>
      </c>
      <c r="B33" s="9" t="s">
        <v>36</v>
      </c>
      <c r="C33" s="12">
        <v>15</v>
      </c>
      <c r="D33" s="10" t="s">
        <v>8</v>
      </c>
      <c r="E33" s="1">
        <v>0.35092000000000001</v>
      </c>
      <c r="F33" s="11">
        <f t="shared" si="0"/>
        <v>5.2637999999999998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4">
        <f t="shared" si="1"/>
        <v>0</v>
      </c>
      <c r="AM33" s="25">
        <f t="shared" si="2"/>
        <v>15</v>
      </c>
      <c r="AN33" s="26">
        <f t="shared" si="3"/>
        <v>5.2637999999999998</v>
      </c>
    </row>
    <row r="34" spans="1:40" ht="20.25" customHeight="1" x14ac:dyDescent="0.3">
      <c r="A34" s="8">
        <v>5796</v>
      </c>
      <c r="B34" s="9" t="s">
        <v>37</v>
      </c>
      <c r="C34" s="12">
        <v>12</v>
      </c>
      <c r="D34" s="10" t="s">
        <v>20</v>
      </c>
      <c r="E34" s="1">
        <v>0.32708599999999999</v>
      </c>
      <c r="F34" s="11">
        <f t="shared" si="0"/>
        <v>3.9250319999999999</v>
      </c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4">
        <f t="shared" si="1"/>
        <v>0</v>
      </c>
      <c r="AM34" s="25">
        <f t="shared" si="2"/>
        <v>12</v>
      </c>
      <c r="AN34" s="26">
        <f t="shared" si="3"/>
        <v>3.9250319999999999</v>
      </c>
    </row>
    <row r="35" spans="1:40" ht="20.25" customHeight="1" x14ac:dyDescent="0.3">
      <c r="A35" s="8">
        <v>117</v>
      </c>
      <c r="B35" s="9" t="s">
        <v>38</v>
      </c>
      <c r="C35" s="12">
        <v>0</v>
      </c>
      <c r="D35" s="10" t="s">
        <v>20</v>
      </c>
      <c r="E35" s="1">
        <v>14.447462</v>
      </c>
      <c r="F35" s="11">
        <f t="shared" si="0"/>
        <v>0</v>
      </c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4">
        <f t="shared" si="1"/>
        <v>0</v>
      </c>
      <c r="AM35" s="25">
        <f t="shared" si="2"/>
        <v>0</v>
      </c>
      <c r="AN35" s="26">
        <f t="shared" si="3"/>
        <v>0</v>
      </c>
    </row>
    <row r="36" spans="1:40" ht="20.25" customHeight="1" x14ac:dyDescent="0.3">
      <c r="A36" s="8">
        <v>25824</v>
      </c>
      <c r="B36" s="9" t="s">
        <v>39</v>
      </c>
      <c r="C36" s="12">
        <v>1</v>
      </c>
      <c r="D36" s="10" t="s">
        <v>20</v>
      </c>
      <c r="E36" s="1">
        <v>11.11</v>
      </c>
      <c r="F36" s="11">
        <f t="shared" si="0"/>
        <v>11.11</v>
      </c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4">
        <f t="shared" si="1"/>
        <v>0</v>
      </c>
      <c r="AM36" s="25">
        <f t="shared" si="2"/>
        <v>1</v>
      </c>
      <c r="AN36" s="26">
        <f t="shared" si="3"/>
        <v>11.11</v>
      </c>
    </row>
    <row r="37" spans="1:40" ht="20.25" customHeight="1" x14ac:dyDescent="0.3">
      <c r="A37" s="8">
        <v>920967</v>
      </c>
      <c r="B37" s="9" t="s">
        <v>40</v>
      </c>
      <c r="C37" s="12">
        <v>1</v>
      </c>
      <c r="D37" s="10" t="s">
        <v>20</v>
      </c>
      <c r="E37" s="1">
        <v>10.009957999999999</v>
      </c>
      <c r="F37" s="11">
        <f t="shared" si="0"/>
        <v>10.009957999999999</v>
      </c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4">
        <f t="shared" si="1"/>
        <v>0</v>
      </c>
      <c r="AM37" s="25">
        <f t="shared" si="2"/>
        <v>1</v>
      </c>
      <c r="AN37" s="26">
        <f t="shared" si="3"/>
        <v>10.009957999999999</v>
      </c>
    </row>
    <row r="38" spans="1:40" ht="20.25" customHeight="1" x14ac:dyDescent="0.3">
      <c r="A38" s="8">
        <v>6171</v>
      </c>
      <c r="B38" s="9" t="s">
        <v>41</v>
      </c>
      <c r="C38" s="12">
        <v>0</v>
      </c>
      <c r="D38" s="10" t="s">
        <v>20</v>
      </c>
      <c r="E38" s="1">
        <v>3.4596930000000001</v>
      </c>
      <c r="F38" s="11">
        <f t="shared" si="0"/>
        <v>0</v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4">
        <f t="shared" si="1"/>
        <v>0</v>
      </c>
      <c r="AM38" s="25">
        <f t="shared" si="2"/>
        <v>0</v>
      </c>
      <c r="AN38" s="26">
        <f t="shared" si="3"/>
        <v>0</v>
      </c>
    </row>
    <row r="39" spans="1:40" ht="20.25" customHeight="1" x14ac:dyDescent="0.3">
      <c r="A39" s="8">
        <v>173</v>
      </c>
      <c r="B39" s="9" t="s">
        <v>42</v>
      </c>
      <c r="C39" s="12">
        <v>2</v>
      </c>
      <c r="D39" s="10" t="s">
        <v>25</v>
      </c>
      <c r="E39" s="1">
        <v>7.0211129999999997</v>
      </c>
      <c r="F39" s="11">
        <f t="shared" si="0"/>
        <v>14.042225999999999</v>
      </c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f t="shared" si="1"/>
        <v>0</v>
      </c>
      <c r="AM39" s="25">
        <f t="shared" si="2"/>
        <v>2</v>
      </c>
      <c r="AN39" s="26">
        <f t="shared" si="3"/>
        <v>14.042225999999999</v>
      </c>
    </row>
    <row r="40" spans="1:40" ht="20.25" customHeight="1" x14ac:dyDescent="0.3">
      <c r="A40" s="8">
        <v>9155</v>
      </c>
      <c r="B40" s="9" t="s">
        <v>43</v>
      </c>
      <c r="C40" s="12">
        <v>4</v>
      </c>
      <c r="D40" s="10" t="s">
        <v>25</v>
      </c>
      <c r="E40" s="1">
        <v>7.0177269999999998</v>
      </c>
      <c r="F40" s="11">
        <f t="shared" si="0"/>
        <v>28.070907999999999</v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4">
        <f t="shared" si="1"/>
        <v>0</v>
      </c>
      <c r="AM40" s="25">
        <f t="shared" si="2"/>
        <v>4</v>
      </c>
      <c r="AN40" s="26">
        <f t="shared" si="3"/>
        <v>28.070907999999999</v>
      </c>
    </row>
    <row r="41" spans="1:40" ht="20.25" customHeight="1" x14ac:dyDescent="0.3">
      <c r="A41" s="8">
        <v>21366</v>
      </c>
      <c r="B41" s="9" t="s">
        <v>44</v>
      </c>
      <c r="C41" s="12">
        <v>2</v>
      </c>
      <c r="D41" s="10" t="s">
        <v>25</v>
      </c>
      <c r="E41" s="1">
        <v>5.9713630000000002</v>
      </c>
      <c r="F41" s="11">
        <f t="shared" si="0"/>
        <v>11.942726</v>
      </c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4">
        <f t="shared" si="1"/>
        <v>0</v>
      </c>
      <c r="AM41" s="25">
        <f t="shared" si="2"/>
        <v>2</v>
      </c>
      <c r="AN41" s="26">
        <f t="shared" si="3"/>
        <v>11.942726</v>
      </c>
    </row>
    <row r="42" spans="1:40" ht="20.25" customHeight="1" x14ac:dyDescent="0.3">
      <c r="A42" s="8">
        <v>21367</v>
      </c>
      <c r="B42" s="9" t="s">
        <v>45</v>
      </c>
      <c r="C42" s="12">
        <v>3</v>
      </c>
      <c r="D42" s="10" t="s">
        <v>25</v>
      </c>
      <c r="E42" s="1">
        <v>5.9700819999999997</v>
      </c>
      <c r="F42" s="11">
        <f t="shared" si="0"/>
        <v>17.910246000000001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4">
        <f t="shared" si="1"/>
        <v>0</v>
      </c>
      <c r="AM42" s="25">
        <f t="shared" si="2"/>
        <v>3</v>
      </c>
      <c r="AN42" s="26">
        <f t="shared" si="3"/>
        <v>17.910246000000001</v>
      </c>
    </row>
    <row r="43" spans="1:40" ht="20.25" customHeight="1" x14ac:dyDescent="0.3">
      <c r="A43" s="8">
        <v>26662</v>
      </c>
      <c r="B43" s="9" t="s">
        <v>46</v>
      </c>
      <c r="C43" s="12">
        <v>2</v>
      </c>
      <c r="D43" s="10" t="s">
        <v>25</v>
      </c>
      <c r="E43" s="1">
        <v>7.0648390000000001</v>
      </c>
      <c r="F43" s="11">
        <f t="shared" si="0"/>
        <v>14.129678</v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4">
        <f t="shared" si="1"/>
        <v>0</v>
      </c>
      <c r="AM43" s="25">
        <f t="shared" si="2"/>
        <v>2</v>
      </c>
      <c r="AN43" s="26">
        <f t="shared" si="3"/>
        <v>14.129678</v>
      </c>
    </row>
    <row r="44" spans="1:40" ht="20.25" customHeight="1" x14ac:dyDescent="0.3">
      <c r="A44" s="8">
        <v>17110</v>
      </c>
      <c r="B44" s="9" t="s">
        <v>47</v>
      </c>
      <c r="C44" s="12">
        <v>33</v>
      </c>
      <c r="D44" s="10" t="s">
        <v>20</v>
      </c>
      <c r="E44" s="1">
        <v>0.42414499999999999</v>
      </c>
      <c r="F44" s="11">
        <f t="shared" si="0"/>
        <v>13.996784999999999</v>
      </c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4">
        <f t="shared" si="1"/>
        <v>0</v>
      </c>
      <c r="AM44" s="25">
        <f t="shared" si="2"/>
        <v>33</v>
      </c>
      <c r="AN44" s="26">
        <f t="shared" si="3"/>
        <v>13.996784999999999</v>
      </c>
    </row>
    <row r="45" spans="1:40" ht="20.25" customHeight="1" x14ac:dyDescent="0.3">
      <c r="A45" s="8">
        <v>17111</v>
      </c>
      <c r="B45" s="9" t="s">
        <v>48</v>
      </c>
      <c r="C45" s="12">
        <v>28</v>
      </c>
      <c r="D45" s="10" t="s">
        <v>20</v>
      </c>
      <c r="E45" s="1">
        <v>0.42435</v>
      </c>
      <c r="F45" s="11">
        <f t="shared" si="0"/>
        <v>11.8818</v>
      </c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4">
        <f t="shared" si="1"/>
        <v>0</v>
      </c>
      <c r="AM45" s="25">
        <f t="shared" si="2"/>
        <v>28</v>
      </c>
      <c r="AN45" s="26">
        <f t="shared" si="3"/>
        <v>11.8818</v>
      </c>
    </row>
    <row r="46" spans="1:40" ht="20.25" customHeight="1" x14ac:dyDescent="0.3">
      <c r="A46" s="8">
        <v>19391</v>
      </c>
      <c r="B46" s="9" t="s">
        <v>49</v>
      </c>
      <c r="C46" s="12">
        <v>4</v>
      </c>
      <c r="D46" s="10" t="s">
        <v>20</v>
      </c>
      <c r="E46" s="1">
        <v>0.39499800000000002</v>
      </c>
      <c r="F46" s="11">
        <f t="shared" si="0"/>
        <v>1.5799920000000001</v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4">
        <f t="shared" si="1"/>
        <v>0</v>
      </c>
      <c r="AM46" s="25">
        <f t="shared" si="2"/>
        <v>4</v>
      </c>
      <c r="AN46" s="26">
        <f t="shared" si="3"/>
        <v>1.5799920000000001</v>
      </c>
    </row>
    <row r="47" spans="1:40" ht="20.25" customHeight="1" x14ac:dyDescent="0.3">
      <c r="A47" s="8">
        <v>19392</v>
      </c>
      <c r="B47" s="9" t="s">
        <v>50</v>
      </c>
      <c r="C47" s="12">
        <v>13</v>
      </c>
      <c r="D47" s="10" t="s">
        <v>20</v>
      </c>
      <c r="E47" s="1">
        <v>0.39622299999999999</v>
      </c>
      <c r="F47" s="11">
        <f t="shared" si="0"/>
        <v>5.1508989999999999</v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4">
        <f t="shared" si="1"/>
        <v>0</v>
      </c>
      <c r="AM47" s="25">
        <f t="shared" si="2"/>
        <v>13</v>
      </c>
      <c r="AN47" s="26">
        <f t="shared" si="3"/>
        <v>5.1508989999999999</v>
      </c>
    </row>
    <row r="48" spans="1:40" ht="20.25" customHeight="1" x14ac:dyDescent="0.3">
      <c r="A48" s="8">
        <v>1802</v>
      </c>
      <c r="B48" s="9" t="s">
        <v>51</v>
      </c>
      <c r="C48" s="12">
        <v>12</v>
      </c>
      <c r="D48" s="10" t="s">
        <v>20</v>
      </c>
      <c r="E48" s="1">
        <v>0.35933500000000002</v>
      </c>
      <c r="F48" s="11">
        <f t="shared" si="0"/>
        <v>4.3120200000000004</v>
      </c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4">
        <f t="shared" si="1"/>
        <v>0</v>
      </c>
      <c r="AM48" s="25">
        <f t="shared" si="2"/>
        <v>12</v>
      </c>
      <c r="AN48" s="26">
        <f t="shared" si="3"/>
        <v>4.3120200000000004</v>
      </c>
    </row>
    <row r="49" spans="1:40" ht="20.25" customHeight="1" x14ac:dyDescent="0.3">
      <c r="A49" s="8">
        <v>4100</v>
      </c>
      <c r="B49" s="9" t="s">
        <v>52</v>
      </c>
      <c r="C49" s="12">
        <v>6</v>
      </c>
      <c r="D49" s="10" t="s">
        <v>20</v>
      </c>
      <c r="E49" s="1">
        <v>0.41187499999999999</v>
      </c>
      <c r="F49" s="11">
        <f t="shared" si="0"/>
        <v>2.4712499999999999</v>
      </c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4">
        <f t="shared" si="1"/>
        <v>0</v>
      </c>
      <c r="AM49" s="25">
        <f t="shared" si="2"/>
        <v>6</v>
      </c>
      <c r="AN49" s="26">
        <f t="shared" si="3"/>
        <v>2.4712499999999999</v>
      </c>
    </row>
    <row r="50" spans="1:40" ht="20.25" customHeight="1" x14ac:dyDescent="0.3">
      <c r="A50" s="8">
        <v>27731</v>
      </c>
      <c r="B50" s="9" t="s">
        <v>53</v>
      </c>
      <c r="C50" s="12">
        <v>2</v>
      </c>
      <c r="D50" s="10" t="s">
        <v>25</v>
      </c>
      <c r="E50" s="1">
        <v>9.0108470000000001</v>
      </c>
      <c r="F50" s="11">
        <f t="shared" si="0"/>
        <v>18.021694</v>
      </c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4">
        <f t="shared" si="1"/>
        <v>0</v>
      </c>
      <c r="AM50" s="25">
        <f t="shared" si="2"/>
        <v>2</v>
      </c>
      <c r="AN50" s="26">
        <f t="shared" si="3"/>
        <v>18.021694</v>
      </c>
    </row>
    <row r="51" spans="1:40" ht="20.25" customHeight="1" x14ac:dyDescent="0.3">
      <c r="A51" s="8">
        <v>24707</v>
      </c>
      <c r="B51" s="9" t="s">
        <v>54</v>
      </c>
      <c r="C51" s="12">
        <v>3</v>
      </c>
      <c r="D51" s="10" t="s">
        <v>20</v>
      </c>
      <c r="E51" s="1">
        <v>4.7378020000000003</v>
      </c>
      <c r="F51" s="11">
        <f t="shared" si="0"/>
        <v>14.213406000000001</v>
      </c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4">
        <f t="shared" si="1"/>
        <v>0</v>
      </c>
      <c r="AM51" s="25">
        <f t="shared" si="2"/>
        <v>3</v>
      </c>
      <c r="AN51" s="26">
        <f t="shared" si="3"/>
        <v>14.213406000000001</v>
      </c>
    </row>
    <row r="52" spans="1:40" ht="20.25" customHeight="1" x14ac:dyDescent="0.3">
      <c r="A52" s="8">
        <v>24622</v>
      </c>
      <c r="B52" s="9" t="s">
        <v>55</v>
      </c>
      <c r="C52" s="12">
        <v>6</v>
      </c>
      <c r="D52" s="10" t="s">
        <v>20</v>
      </c>
      <c r="E52" s="1">
        <v>4.8899999999999997</v>
      </c>
      <c r="F52" s="11">
        <f t="shared" si="0"/>
        <v>29.339999999999996</v>
      </c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4">
        <f t="shared" si="1"/>
        <v>0</v>
      </c>
      <c r="AM52" s="25">
        <f t="shared" si="2"/>
        <v>6</v>
      </c>
      <c r="AN52" s="26">
        <f t="shared" si="3"/>
        <v>29.339999999999996</v>
      </c>
    </row>
    <row r="53" spans="1:40" ht="20.25" customHeight="1" x14ac:dyDescent="0.3">
      <c r="A53" s="8">
        <v>15593</v>
      </c>
      <c r="B53" s="9" t="s">
        <v>56</v>
      </c>
      <c r="C53" s="12">
        <v>8</v>
      </c>
      <c r="D53" s="10" t="s">
        <v>20</v>
      </c>
      <c r="E53" s="1">
        <v>2.0539999999999998</v>
      </c>
      <c r="F53" s="11">
        <f t="shared" si="0"/>
        <v>16.431999999999999</v>
      </c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4">
        <f t="shared" si="1"/>
        <v>0</v>
      </c>
      <c r="AM53" s="25">
        <f t="shared" si="2"/>
        <v>8</v>
      </c>
      <c r="AN53" s="26">
        <f t="shared" si="3"/>
        <v>16.431999999999999</v>
      </c>
    </row>
    <row r="54" spans="1:40" ht="20.25" customHeight="1" x14ac:dyDescent="0.3">
      <c r="A54" s="8">
        <v>1225</v>
      </c>
      <c r="B54" s="9" t="s">
        <v>57</v>
      </c>
      <c r="C54" s="12">
        <v>5</v>
      </c>
      <c r="D54" s="10" t="s">
        <v>20</v>
      </c>
      <c r="E54" s="1">
        <v>2.8119990000000001</v>
      </c>
      <c r="F54" s="11">
        <f t="shared" si="0"/>
        <v>14.059995000000001</v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4">
        <f t="shared" si="1"/>
        <v>0</v>
      </c>
      <c r="AM54" s="25">
        <f t="shared" si="2"/>
        <v>5</v>
      </c>
      <c r="AN54" s="26">
        <f t="shared" si="3"/>
        <v>14.059995000000001</v>
      </c>
    </row>
    <row r="55" spans="1:40" ht="20.25" customHeight="1" x14ac:dyDescent="0.3">
      <c r="A55" s="8">
        <v>154</v>
      </c>
      <c r="B55" s="9" t="s">
        <v>58</v>
      </c>
      <c r="C55" s="12">
        <v>6</v>
      </c>
      <c r="D55" s="10" t="s">
        <v>20</v>
      </c>
      <c r="E55" s="1">
        <v>2.1573980000000001</v>
      </c>
      <c r="F55" s="11">
        <f t="shared" si="0"/>
        <v>12.944388</v>
      </c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4">
        <f t="shared" si="1"/>
        <v>0</v>
      </c>
      <c r="AM55" s="25">
        <f t="shared" si="2"/>
        <v>6</v>
      </c>
      <c r="AN55" s="26">
        <f t="shared" si="3"/>
        <v>12.944388</v>
      </c>
    </row>
    <row r="56" spans="1:40" ht="20.25" customHeight="1" x14ac:dyDescent="0.3">
      <c r="A56" s="8">
        <v>16134</v>
      </c>
      <c r="B56" s="9" t="s">
        <v>59</v>
      </c>
      <c r="C56" s="12">
        <v>7</v>
      </c>
      <c r="D56" s="10" t="s">
        <v>20</v>
      </c>
      <c r="E56" s="1">
        <v>7.14</v>
      </c>
      <c r="F56" s="11">
        <f t="shared" si="0"/>
        <v>49.98</v>
      </c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4">
        <f t="shared" si="1"/>
        <v>0</v>
      </c>
      <c r="AM56" s="25">
        <f t="shared" si="2"/>
        <v>7</v>
      </c>
      <c r="AN56" s="26">
        <f t="shared" si="3"/>
        <v>49.98</v>
      </c>
    </row>
    <row r="57" spans="1:40" ht="20.25" customHeight="1" x14ac:dyDescent="0.3">
      <c r="A57" s="8">
        <v>3107</v>
      </c>
      <c r="B57" s="9" t="s">
        <v>60</v>
      </c>
      <c r="C57" s="12">
        <v>0</v>
      </c>
      <c r="D57" s="10" t="s">
        <v>20</v>
      </c>
      <c r="E57" s="1">
        <v>2.3118669999999999</v>
      </c>
      <c r="F57" s="11">
        <f t="shared" si="0"/>
        <v>0</v>
      </c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4">
        <f t="shared" si="1"/>
        <v>0</v>
      </c>
      <c r="AM57" s="25">
        <f t="shared" si="2"/>
        <v>0</v>
      </c>
      <c r="AN57" s="26">
        <f t="shared" si="3"/>
        <v>0</v>
      </c>
    </row>
    <row r="58" spans="1:40" ht="20.25" customHeight="1" x14ac:dyDescent="0.3">
      <c r="A58" s="8">
        <v>30901</v>
      </c>
      <c r="B58" s="9" t="s">
        <v>61</v>
      </c>
      <c r="C58" s="27">
        <v>0</v>
      </c>
      <c r="D58" s="10" t="s">
        <v>20</v>
      </c>
      <c r="E58" s="1">
        <v>7.3</v>
      </c>
      <c r="F58" s="11">
        <f t="shared" si="0"/>
        <v>0</v>
      </c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4">
        <f t="shared" si="1"/>
        <v>0</v>
      </c>
      <c r="AM58" s="25">
        <f t="shared" si="2"/>
        <v>0</v>
      </c>
      <c r="AN58" s="26">
        <f t="shared" si="3"/>
        <v>0</v>
      </c>
    </row>
    <row r="59" spans="1:40" ht="20.25" customHeight="1" x14ac:dyDescent="0.3">
      <c r="A59" s="8">
        <v>14990</v>
      </c>
      <c r="B59" s="9" t="s">
        <v>62</v>
      </c>
      <c r="C59" s="12">
        <v>4</v>
      </c>
      <c r="D59" s="10" t="s">
        <v>20</v>
      </c>
      <c r="E59" s="1">
        <v>1.8499220000000001</v>
      </c>
      <c r="F59" s="11">
        <f t="shared" si="0"/>
        <v>7.3996880000000003</v>
      </c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4">
        <f t="shared" si="1"/>
        <v>0</v>
      </c>
      <c r="AM59" s="25">
        <f t="shared" si="2"/>
        <v>4</v>
      </c>
      <c r="AN59" s="26">
        <f t="shared" si="3"/>
        <v>7.3996880000000003</v>
      </c>
    </row>
    <row r="60" spans="1:40" ht="20.25" customHeight="1" x14ac:dyDescent="0.3">
      <c r="A60" s="8">
        <v>23809</v>
      </c>
      <c r="B60" s="9" t="s">
        <v>63</v>
      </c>
      <c r="C60" s="12">
        <v>8</v>
      </c>
      <c r="D60" s="10" t="s">
        <v>20</v>
      </c>
      <c r="E60" s="1">
        <v>2.8119990000000001</v>
      </c>
      <c r="F60" s="11">
        <f t="shared" si="0"/>
        <v>22.495992000000001</v>
      </c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4">
        <f t="shared" si="1"/>
        <v>0</v>
      </c>
      <c r="AM60" s="25">
        <f t="shared" si="2"/>
        <v>8</v>
      </c>
      <c r="AN60" s="26">
        <f t="shared" si="3"/>
        <v>22.495992000000001</v>
      </c>
    </row>
    <row r="61" spans="1:40" ht="20.25" customHeight="1" x14ac:dyDescent="0.3">
      <c r="A61" s="8">
        <v>162</v>
      </c>
      <c r="B61" s="9" t="s">
        <v>64</v>
      </c>
      <c r="C61" s="12">
        <v>0</v>
      </c>
      <c r="D61" s="10" t="s">
        <v>20</v>
      </c>
      <c r="E61" s="1">
        <v>3.67</v>
      </c>
      <c r="F61" s="11">
        <f t="shared" si="0"/>
        <v>0</v>
      </c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4">
        <f t="shared" si="1"/>
        <v>0</v>
      </c>
      <c r="AM61" s="25">
        <f t="shared" si="2"/>
        <v>0</v>
      </c>
      <c r="AN61" s="26">
        <f t="shared" si="3"/>
        <v>0</v>
      </c>
    </row>
    <row r="62" spans="1:40" ht="20.25" customHeight="1" x14ac:dyDescent="0.3">
      <c r="A62" s="8">
        <v>24364</v>
      </c>
      <c r="B62" s="9" t="s">
        <v>65</v>
      </c>
      <c r="C62" s="12">
        <v>4</v>
      </c>
      <c r="D62" s="10" t="s">
        <v>20</v>
      </c>
      <c r="E62" s="1">
        <v>3.028</v>
      </c>
      <c r="F62" s="11">
        <f t="shared" si="0"/>
        <v>12.112</v>
      </c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4">
        <f t="shared" si="1"/>
        <v>0</v>
      </c>
      <c r="AM62" s="25">
        <f t="shared" si="2"/>
        <v>4</v>
      </c>
      <c r="AN62" s="26">
        <f t="shared" si="3"/>
        <v>12.112</v>
      </c>
    </row>
    <row r="63" spans="1:40" ht="20.25" customHeight="1" x14ac:dyDescent="0.3">
      <c r="A63" s="8">
        <v>15560</v>
      </c>
      <c r="B63" s="9" t="s">
        <v>66</v>
      </c>
      <c r="C63" s="12">
        <v>6</v>
      </c>
      <c r="D63" s="10" t="s">
        <v>20</v>
      </c>
      <c r="E63" s="1">
        <v>4.5199999999999996</v>
      </c>
      <c r="F63" s="11">
        <f t="shared" si="0"/>
        <v>27.119999999999997</v>
      </c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4">
        <f t="shared" si="1"/>
        <v>0</v>
      </c>
      <c r="AM63" s="25">
        <f t="shared" si="2"/>
        <v>6</v>
      </c>
      <c r="AN63" s="26">
        <f t="shared" si="3"/>
        <v>27.119999999999997</v>
      </c>
    </row>
    <row r="64" spans="1:40" ht="20.25" customHeight="1" x14ac:dyDescent="0.3">
      <c r="A64" s="8">
        <v>14989</v>
      </c>
      <c r="B64" s="9" t="s">
        <v>67</v>
      </c>
      <c r="C64" s="12">
        <v>7</v>
      </c>
      <c r="D64" s="10" t="s">
        <v>20</v>
      </c>
      <c r="E64" s="1">
        <v>1.848992</v>
      </c>
      <c r="F64" s="11">
        <f t="shared" si="0"/>
        <v>12.942944000000001</v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4">
        <f t="shared" si="1"/>
        <v>0</v>
      </c>
      <c r="AM64" s="25">
        <f t="shared" si="2"/>
        <v>7</v>
      </c>
      <c r="AN64" s="26">
        <f t="shared" si="3"/>
        <v>12.942944000000001</v>
      </c>
    </row>
    <row r="65" spans="1:40" ht="20.25" customHeight="1" x14ac:dyDescent="0.3">
      <c r="A65" s="8">
        <v>15888</v>
      </c>
      <c r="B65" s="9" t="s">
        <v>68</v>
      </c>
      <c r="C65" s="12">
        <v>3</v>
      </c>
      <c r="D65" s="10" t="s">
        <v>20</v>
      </c>
      <c r="E65" s="1">
        <v>5.0999999999999996</v>
      </c>
      <c r="F65" s="11">
        <f t="shared" si="0"/>
        <v>15.299999999999999</v>
      </c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4">
        <f t="shared" si="1"/>
        <v>0</v>
      </c>
      <c r="AM65" s="25">
        <f t="shared" si="2"/>
        <v>3</v>
      </c>
      <c r="AN65" s="26">
        <f t="shared" si="3"/>
        <v>15.299999999999999</v>
      </c>
    </row>
    <row r="66" spans="1:40" ht="20.25" customHeight="1" x14ac:dyDescent="0.3">
      <c r="A66" s="8">
        <v>15595</v>
      </c>
      <c r="B66" s="9" t="s">
        <v>69</v>
      </c>
      <c r="C66" s="12">
        <v>6</v>
      </c>
      <c r="D66" s="10" t="s">
        <v>20</v>
      </c>
      <c r="E66" s="1">
        <v>2.0539999999999998</v>
      </c>
      <c r="F66" s="11">
        <f t="shared" si="0"/>
        <v>12.323999999999998</v>
      </c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4">
        <f t="shared" si="1"/>
        <v>0</v>
      </c>
      <c r="AM66" s="25">
        <f t="shared" si="2"/>
        <v>6</v>
      </c>
      <c r="AN66" s="26">
        <f t="shared" si="3"/>
        <v>12.323999999999998</v>
      </c>
    </row>
    <row r="67" spans="1:40" ht="20.25" customHeight="1" x14ac:dyDescent="0.3">
      <c r="A67" s="8">
        <v>14505</v>
      </c>
      <c r="B67" s="9" t="s">
        <v>70</v>
      </c>
      <c r="C67" s="12">
        <v>6</v>
      </c>
      <c r="D67" s="10" t="s">
        <v>20</v>
      </c>
      <c r="E67" s="1">
        <v>4.75</v>
      </c>
      <c r="F67" s="11">
        <f t="shared" si="0"/>
        <v>28.5</v>
      </c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4">
        <f t="shared" si="1"/>
        <v>0</v>
      </c>
      <c r="AM67" s="25">
        <f t="shared" si="2"/>
        <v>6</v>
      </c>
      <c r="AN67" s="26">
        <f t="shared" si="3"/>
        <v>28.5</v>
      </c>
    </row>
    <row r="68" spans="1:40" ht="20.25" customHeight="1" x14ac:dyDescent="0.3">
      <c r="A68" s="8">
        <v>3105</v>
      </c>
      <c r="B68" s="9" t="s">
        <v>71</v>
      </c>
      <c r="C68" s="12">
        <v>1</v>
      </c>
      <c r="D68" s="10" t="s">
        <v>20</v>
      </c>
      <c r="E68" s="1">
        <v>2.306432</v>
      </c>
      <c r="F68" s="11">
        <f t="shared" si="0"/>
        <v>2.306432</v>
      </c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4">
        <f t="shared" si="1"/>
        <v>0</v>
      </c>
      <c r="AM68" s="25">
        <f t="shared" si="2"/>
        <v>1</v>
      </c>
      <c r="AN68" s="26">
        <f t="shared" si="3"/>
        <v>2.306432</v>
      </c>
    </row>
    <row r="69" spans="1:40" ht="20.25" customHeight="1" x14ac:dyDescent="0.3">
      <c r="A69" s="8">
        <v>17084</v>
      </c>
      <c r="B69" s="9" t="s">
        <v>72</v>
      </c>
      <c r="C69" s="12">
        <v>3</v>
      </c>
      <c r="D69" s="10" t="s">
        <v>20</v>
      </c>
      <c r="E69" s="1">
        <v>4.6884050000000004</v>
      </c>
      <c r="F69" s="11">
        <f t="shared" si="0"/>
        <v>14.065215000000002</v>
      </c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4">
        <f t="shared" si="1"/>
        <v>0</v>
      </c>
      <c r="AM69" s="25">
        <f t="shared" si="2"/>
        <v>3</v>
      </c>
      <c r="AN69" s="26">
        <f t="shared" si="3"/>
        <v>14.065215000000002</v>
      </c>
    </row>
    <row r="70" spans="1:40" ht="20.25" customHeight="1" x14ac:dyDescent="0.3">
      <c r="A70" s="8">
        <v>14988</v>
      </c>
      <c r="B70" s="9" t="s">
        <v>73</v>
      </c>
      <c r="C70" s="12">
        <v>9</v>
      </c>
      <c r="D70" s="10" t="s">
        <v>20</v>
      </c>
      <c r="E70" s="1">
        <v>1.849512</v>
      </c>
      <c r="F70" s="11">
        <f t="shared" si="0"/>
        <v>16.645607999999999</v>
      </c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4">
        <f t="shared" si="1"/>
        <v>0</v>
      </c>
      <c r="AM70" s="25">
        <f t="shared" si="2"/>
        <v>9</v>
      </c>
      <c r="AN70" s="26">
        <f t="shared" si="3"/>
        <v>16.645607999999999</v>
      </c>
    </row>
    <row r="71" spans="1:40" ht="20.25" customHeight="1" x14ac:dyDescent="0.3">
      <c r="A71" s="8">
        <v>4286</v>
      </c>
      <c r="B71" s="9" t="s">
        <v>74</v>
      </c>
      <c r="C71" s="12">
        <v>6</v>
      </c>
      <c r="D71" s="10" t="s">
        <v>20</v>
      </c>
      <c r="E71" s="1">
        <v>14.6</v>
      </c>
      <c r="F71" s="11">
        <f t="shared" si="0"/>
        <v>87.6</v>
      </c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4">
        <f t="shared" si="1"/>
        <v>0</v>
      </c>
      <c r="AM71" s="25">
        <f t="shared" si="2"/>
        <v>6</v>
      </c>
      <c r="AN71" s="26">
        <f t="shared" si="3"/>
        <v>87.6</v>
      </c>
    </row>
    <row r="72" spans="1:40" ht="20.25" customHeight="1" x14ac:dyDescent="0.3">
      <c r="A72" s="8">
        <v>24655</v>
      </c>
      <c r="B72" s="9" t="s">
        <v>75</v>
      </c>
      <c r="C72" s="12">
        <v>4</v>
      </c>
      <c r="D72" s="10" t="s">
        <v>20</v>
      </c>
      <c r="E72" s="1">
        <v>11.12</v>
      </c>
      <c r="F72" s="11">
        <f t="shared" si="0"/>
        <v>44.48</v>
      </c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4">
        <f t="shared" si="1"/>
        <v>0</v>
      </c>
      <c r="AM72" s="25">
        <f t="shared" si="2"/>
        <v>4</v>
      </c>
      <c r="AN72" s="26">
        <f t="shared" si="3"/>
        <v>44.48</v>
      </c>
    </row>
    <row r="73" spans="1:40" ht="20.25" customHeight="1" x14ac:dyDescent="0.3">
      <c r="A73" s="8">
        <v>6927</v>
      </c>
      <c r="B73" s="9" t="s">
        <v>76</v>
      </c>
      <c r="C73" s="12">
        <v>1</v>
      </c>
      <c r="D73" s="10" t="s">
        <v>20</v>
      </c>
      <c r="E73" s="1">
        <v>5.0286609999999996</v>
      </c>
      <c r="F73" s="11">
        <f t="shared" si="0"/>
        <v>5.0286609999999996</v>
      </c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4">
        <f t="shared" si="1"/>
        <v>0</v>
      </c>
      <c r="AM73" s="25">
        <f t="shared" si="2"/>
        <v>1</v>
      </c>
      <c r="AN73" s="26">
        <f t="shared" si="3"/>
        <v>5.0286609999999996</v>
      </c>
    </row>
    <row r="74" spans="1:40" ht="20.25" customHeight="1" x14ac:dyDescent="0.3">
      <c r="A74" s="8">
        <v>19084</v>
      </c>
      <c r="B74" s="9" t="s">
        <v>77</v>
      </c>
      <c r="C74" s="12">
        <v>2</v>
      </c>
      <c r="D74" s="10" t="s">
        <v>20</v>
      </c>
      <c r="E74" s="1">
        <v>12.9</v>
      </c>
      <c r="F74" s="11">
        <f t="shared" si="0"/>
        <v>25.8</v>
      </c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4">
        <f t="shared" si="1"/>
        <v>0</v>
      </c>
      <c r="AM74" s="25">
        <f t="shared" si="2"/>
        <v>2</v>
      </c>
      <c r="AN74" s="26">
        <f t="shared" si="3"/>
        <v>25.8</v>
      </c>
    </row>
    <row r="75" spans="1:40" ht="20.25" customHeight="1" x14ac:dyDescent="0.3">
      <c r="C75" s="12">
        <f>SUM(C7:C74)</f>
        <v>359</v>
      </c>
      <c r="E75" s="13" t="s">
        <v>78</v>
      </c>
      <c r="F75" s="14">
        <f>SUM(F7:F74)</f>
        <v>871.84029199999986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>
        <f t="shared" ref="AM75:AN75" si="4">SUM(AM7:AM74)</f>
        <v>359</v>
      </c>
      <c r="AN75" s="15">
        <f t="shared" si="4"/>
        <v>871.84029199999986</v>
      </c>
    </row>
    <row r="76" spans="1:40" ht="15.75" customHeight="1" x14ac:dyDescent="0.3"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spans="1:40" ht="15.75" customHeight="1" x14ac:dyDescent="0.3"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</row>
    <row r="78" spans="1:40" ht="15.75" customHeight="1" x14ac:dyDescent="0.3"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spans="1:40" ht="15.75" customHeight="1" x14ac:dyDescent="0.3"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</row>
    <row r="80" spans="1:40" ht="15.75" customHeight="1" x14ac:dyDescent="0.3"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spans="4:40" ht="15.75" customHeight="1" x14ac:dyDescent="0.3"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</row>
    <row r="82" spans="4:40" ht="15.75" customHeight="1" x14ac:dyDescent="0.3"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spans="4:40" ht="15.75" customHeight="1" x14ac:dyDescent="0.3"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</row>
    <row r="84" spans="4:40" ht="15.75" customHeight="1" x14ac:dyDescent="0.3"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spans="4:40" ht="15.75" customHeight="1" x14ac:dyDescent="0.3"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</row>
    <row r="86" spans="4:40" ht="15.75" customHeight="1" x14ac:dyDescent="0.3"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spans="4:40" ht="15.75" customHeight="1" x14ac:dyDescent="0.3"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</row>
    <row r="88" spans="4:40" ht="15.75" customHeight="1" x14ac:dyDescent="0.3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spans="4:40" ht="15.75" customHeight="1" x14ac:dyDescent="0.3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</row>
    <row r="90" spans="4:40" ht="15.75" customHeight="1" x14ac:dyDescent="0.3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spans="4:40" ht="15.75" customHeight="1" x14ac:dyDescent="0.3"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</row>
    <row r="92" spans="4:40" ht="15.75" customHeight="1" x14ac:dyDescent="0.3"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spans="4:40" ht="15.75" customHeight="1" x14ac:dyDescent="0.3"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</row>
    <row r="94" spans="4:40" ht="15.75" customHeight="1" x14ac:dyDescent="0.3"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spans="4:40" ht="15.75" customHeight="1" x14ac:dyDescent="0.3"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</row>
    <row r="96" spans="4:40" ht="15.75" customHeight="1" x14ac:dyDescent="0.3"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spans="4:40" ht="15.75" customHeight="1" x14ac:dyDescent="0.3"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</row>
    <row r="98" spans="4:40" ht="15.75" customHeight="1" x14ac:dyDescent="0.3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spans="4:40" ht="15.75" customHeight="1" x14ac:dyDescent="0.3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</row>
    <row r="100" spans="4:40" ht="15.75" customHeight="1" x14ac:dyDescent="0.3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spans="4:40" ht="15.75" customHeight="1" x14ac:dyDescent="0.3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</row>
    <row r="102" spans="4:40" ht="15.75" customHeight="1" x14ac:dyDescent="0.3"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spans="4:40" ht="15.75" customHeight="1" x14ac:dyDescent="0.3"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</row>
    <row r="104" spans="4:40" ht="15.75" customHeight="1" x14ac:dyDescent="0.3"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spans="4:40" ht="15.75" customHeight="1" x14ac:dyDescent="0.3"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</row>
    <row r="106" spans="4:40" ht="15.75" customHeight="1" x14ac:dyDescent="0.3"/>
    <row r="107" spans="4:40" ht="15.75" customHeight="1" x14ac:dyDescent="0.3"/>
    <row r="108" spans="4:40" ht="15.75" customHeight="1" x14ac:dyDescent="0.3"/>
    <row r="109" spans="4:40" ht="15.75" customHeight="1" x14ac:dyDescent="0.3"/>
    <row r="110" spans="4:40" ht="15.75" customHeight="1" x14ac:dyDescent="0.3"/>
    <row r="111" spans="4:40" ht="15.75" customHeight="1" x14ac:dyDescent="0.3"/>
    <row r="112" spans="4:40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6:F6" xr:uid="{00000000-0009-0000-0000-000001000000}"/>
  <mergeCells count="3">
    <mergeCell ref="R3:X3"/>
    <mergeCell ref="AL5:AL6"/>
    <mergeCell ref="AM5:AM6"/>
  </mergeCells>
  <conditionalFormatting sqref="C7:C74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2026-07-06T20:08:22Z</dcterms:modified>
</cp:coreProperties>
</file>