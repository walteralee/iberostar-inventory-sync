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theme="1"/>
      <sz val="16"/>
      <scheme val="minor"/>
    </font>
    <font>
      <name val="Calibri"/>
      <b val="1"/>
      <color rgb="FF333399"/>
      <sz val="18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7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sz val="11"/>
    </font>
    <font>
      <name val="Calibri"/>
      <b val="1"/>
      <color theme="1"/>
      <sz val="11"/>
    </font>
    <font>
      <name val="Calibri"/>
      <color rgb="FF000000"/>
      <sz val="11"/>
      <scheme val="minor"/>
    </font>
    <font>
      <name val="Calibri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C000"/>
        <bgColor rgb="FFFFE59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4" fillId="0" borderId="4"/>
    <xf numFmtId="0" fontId="14" fillId="0" borderId="4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15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4" fontId="4" fillId="4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4" applyAlignment="1" pivotButton="0" quotePrefix="0" xfId="1">
      <alignment horizontal="center" vertical="center"/>
    </xf>
    <xf numFmtId="0" fontId="8" fillId="4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4" fontId="1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2" fontId="13" fillId="7" borderId="7" applyAlignment="1" pivotButton="0" quotePrefix="0" xfId="0">
      <alignment horizontal="center" vertical="center"/>
    </xf>
    <xf numFmtId="2" fontId="13" fillId="7" borderId="1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2" fontId="9" fillId="5" borderId="8" applyAlignment="1" pivotButton="0" quotePrefix="0" xfId="0">
      <alignment horizontal="center" vertical="center"/>
    </xf>
    <xf numFmtId="0" fontId="0" fillId="0" borderId="11" pivotButton="0" quotePrefix="0" xfId="0"/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4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52"/>
  <sheetViews>
    <sheetView tabSelected="1" topLeftCell="A38" zoomScale="70" zoomScaleNormal="70" workbookViewId="0">
      <selection activeCell="O33" sqref="O33"/>
    </sheetView>
  </sheetViews>
  <sheetFormatPr baseColWidth="10" defaultColWidth="14.44140625" defaultRowHeight="15" customHeight="1"/>
  <cols>
    <col width="10.77734375" customWidth="1" style="1" min="1" max="1"/>
    <col width="60.77734375" customWidth="1" style="1" min="2" max="2"/>
    <col width="15.77734375" customWidth="1" style="1" min="3" max="6"/>
    <col width="5.77734375" customWidth="1" style="1" min="7" max="37"/>
    <col width="25.77734375" customWidth="1" style="1" min="38" max="38"/>
    <col width="40.77734375" customWidth="1" style="1" min="39" max="39"/>
    <col width="15.77734375" customWidth="1" style="1" min="40" max="40"/>
    <col width="14.44140625" customWidth="1" style="1" min="41" max="16384"/>
  </cols>
  <sheetData>
    <row r="1" ht="25.05" customHeight="1">
      <c r="E1" s="2" t="n"/>
      <c r="F1" s="2" t="n"/>
    </row>
    <row r="2" ht="25.05" customHeight="1">
      <c r="E2" s="2" t="n"/>
      <c r="F2" s="2" t="n"/>
    </row>
    <row r="3" ht="25.05" customHeight="1">
      <c r="E3" s="2" t="n"/>
      <c r="F3" s="2" t="n"/>
    </row>
    <row r="4" ht="25.05" customHeight="1">
      <c r="B4" s="15" t="inlineStr">
        <is>
          <t>STAR   CAFE</t>
        </is>
      </c>
      <c r="E4" s="8" t="n"/>
      <c r="F4" s="8" t="n"/>
      <c r="H4" s="20" t="n"/>
    </row>
    <row r="5" ht="25.05" customHeight="1">
      <c r="E5" s="8" t="n"/>
      <c r="F5" s="8" t="n"/>
      <c r="G5" s="16" t="inlineStr">
        <is>
          <t>X</t>
        </is>
      </c>
      <c r="H5" s="16" t="inlineStr">
        <is>
          <t>J</t>
        </is>
      </c>
      <c r="I5" s="16" t="inlineStr">
        <is>
          <t>V</t>
        </is>
      </c>
      <c r="J5" s="17" t="inlineStr">
        <is>
          <t>S</t>
        </is>
      </c>
      <c r="K5" s="17" t="inlineStr">
        <is>
          <t>D</t>
        </is>
      </c>
      <c r="L5" s="18" t="inlineStr">
        <is>
          <t>L</t>
        </is>
      </c>
      <c r="M5" s="16" t="inlineStr">
        <is>
          <t>M</t>
        </is>
      </c>
      <c r="N5" s="16" t="inlineStr">
        <is>
          <t>X</t>
        </is>
      </c>
      <c r="O5" s="16" t="inlineStr">
        <is>
          <t>J</t>
        </is>
      </c>
      <c r="P5" s="16" t="inlineStr">
        <is>
          <t>V</t>
        </is>
      </c>
      <c r="Q5" s="17" t="inlineStr">
        <is>
          <t>S</t>
        </is>
      </c>
      <c r="R5" s="17" t="inlineStr">
        <is>
          <t>D</t>
        </is>
      </c>
      <c r="S5" s="18" t="inlineStr">
        <is>
          <t>L</t>
        </is>
      </c>
      <c r="T5" s="16" t="inlineStr">
        <is>
          <t>M</t>
        </is>
      </c>
      <c r="U5" s="16" t="inlineStr">
        <is>
          <t>X</t>
        </is>
      </c>
      <c r="V5" s="16" t="inlineStr">
        <is>
          <t>J</t>
        </is>
      </c>
      <c r="W5" s="16" t="inlineStr">
        <is>
          <t>V</t>
        </is>
      </c>
      <c r="X5" s="17" t="inlineStr">
        <is>
          <t>S</t>
        </is>
      </c>
      <c r="Y5" s="17" t="inlineStr">
        <is>
          <t>D</t>
        </is>
      </c>
      <c r="Z5" s="18" t="inlineStr">
        <is>
          <t>L</t>
        </is>
      </c>
      <c r="AA5" s="16" t="inlineStr">
        <is>
          <t>M</t>
        </is>
      </c>
      <c r="AB5" s="16" t="inlineStr">
        <is>
          <t>X</t>
        </is>
      </c>
      <c r="AC5" s="16" t="inlineStr">
        <is>
          <t>J</t>
        </is>
      </c>
      <c r="AD5" s="16" t="inlineStr">
        <is>
          <t>V</t>
        </is>
      </c>
      <c r="AE5" s="17" t="inlineStr">
        <is>
          <t>S</t>
        </is>
      </c>
      <c r="AF5" s="17" t="inlineStr">
        <is>
          <t>D</t>
        </is>
      </c>
      <c r="AG5" s="18" t="inlineStr">
        <is>
          <t>L</t>
        </is>
      </c>
      <c r="AH5" s="16" t="inlineStr">
        <is>
          <t>M</t>
        </is>
      </c>
      <c r="AI5" s="16" t="inlineStr">
        <is>
          <t>X</t>
        </is>
      </c>
      <c r="AJ5" s="16" t="inlineStr">
        <is>
          <t>J</t>
        </is>
      </c>
      <c r="AK5" s="19" t="inlineStr">
        <is>
          <t>V</t>
        </is>
      </c>
      <c r="AL5" s="27" t="inlineStr">
        <is>
          <t>EXTRACION
  MENSUAL</t>
        </is>
      </c>
      <c r="AM5" s="28" t="inlineStr">
        <is>
          <t xml:space="preserve">suma  stok inicial
+  estracion mensual   </t>
        </is>
      </c>
      <c r="AN5" s="30" t="inlineStr">
        <is>
          <t>VALOR</t>
        </is>
      </c>
    </row>
    <row r="6" ht="25.05" customHeight="1">
      <c r="A6" s="3" t="inlineStr">
        <is>
          <t>Cód.Art.</t>
        </is>
      </c>
      <c r="B6" s="3" t="inlineStr">
        <is>
          <t>Artículo</t>
        </is>
      </c>
      <c r="C6" s="4" t="inlineStr">
        <is>
          <t>Cnt.Stk.</t>
        </is>
      </c>
      <c r="D6" s="5" t="inlineStr">
        <is>
          <t>Frm.Stk.</t>
        </is>
      </c>
      <c r="E6" s="6" t="inlineStr">
        <is>
          <t>Prc.Med.EUR</t>
        </is>
      </c>
      <c r="F6" s="6" t="inlineStr">
        <is>
          <t>Total EUR</t>
        </is>
      </c>
      <c r="G6" s="16" t="n">
        <v>1</v>
      </c>
      <c r="H6" s="16" t="n">
        <v>2</v>
      </c>
      <c r="I6" s="16" t="n">
        <v>3</v>
      </c>
      <c r="J6" s="17" t="n">
        <v>4</v>
      </c>
      <c r="K6" s="17" t="n">
        <v>5</v>
      </c>
      <c r="L6" s="16" t="n">
        <v>6</v>
      </c>
      <c r="M6" s="16" t="n">
        <v>7</v>
      </c>
      <c r="N6" s="16" t="n">
        <v>8</v>
      </c>
      <c r="O6" s="16" t="n">
        <v>9</v>
      </c>
      <c r="P6" s="16" t="n">
        <v>10</v>
      </c>
      <c r="Q6" s="17" t="n">
        <v>11</v>
      </c>
      <c r="R6" s="17" t="n">
        <v>12</v>
      </c>
      <c r="S6" s="16" t="n">
        <v>13</v>
      </c>
      <c r="T6" s="16" t="n">
        <v>14</v>
      </c>
      <c r="U6" s="16" t="n">
        <v>15</v>
      </c>
      <c r="V6" s="16" t="n">
        <v>16</v>
      </c>
      <c r="W6" s="16" t="n">
        <v>17</v>
      </c>
      <c r="X6" s="17" t="n">
        <v>18</v>
      </c>
      <c r="Y6" s="17" t="n">
        <v>19</v>
      </c>
      <c r="Z6" s="16" t="n">
        <v>20</v>
      </c>
      <c r="AA6" s="16" t="n">
        <v>21</v>
      </c>
      <c r="AB6" s="16" t="n">
        <v>22</v>
      </c>
      <c r="AC6" s="16" t="n">
        <v>23</v>
      </c>
      <c r="AD6" s="16" t="n">
        <v>24</v>
      </c>
      <c r="AE6" s="17" t="n">
        <v>25</v>
      </c>
      <c r="AF6" s="17" t="n">
        <v>26</v>
      </c>
      <c r="AG6" s="16" t="n">
        <v>27</v>
      </c>
      <c r="AH6" s="16" t="n">
        <v>28</v>
      </c>
      <c r="AI6" s="16" t="n">
        <v>29</v>
      </c>
      <c r="AJ6" s="16" t="n">
        <v>30</v>
      </c>
      <c r="AK6" s="19" t="n">
        <v>31</v>
      </c>
      <c r="AL6" s="31" t="n"/>
      <c r="AM6" s="31" t="n"/>
      <c r="AN6" s="31" t="n"/>
    </row>
    <row r="7" ht="25.05" customHeight="1">
      <c r="A7" s="7" t="n">
        <v>30756</v>
      </c>
      <c r="B7" s="7" t="inlineStr">
        <is>
          <t>AZUCAR TERRON BLANCO 4 GR</t>
        </is>
      </c>
      <c r="C7" s="9" t="n">
        <v>0</v>
      </c>
      <c r="D7" s="10" t="inlineStr">
        <is>
          <t>UNIDAD</t>
        </is>
      </c>
      <c r="E7" s="8" t="n">
        <v>0.01037</v>
      </c>
      <c r="F7" s="14">
        <f>C7*E7</f>
        <v/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2">
        <f>SUM(G7:AK7)</f>
        <v/>
      </c>
      <c r="AM7" s="23">
        <f>SUM(C7,AL7)</f>
        <v/>
      </c>
      <c r="AN7" s="24">
        <f>E7*AM7</f>
        <v/>
      </c>
    </row>
    <row r="8" ht="25.05" customHeight="1">
      <c r="A8" s="7" t="n">
        <v>14279</v>
      </c>
      <c r="B8" s="7" t="inlineStr">
        <is>
          <t>AZUCAR TERRON MORENO 4 GR</t>
        </is>
      </c>
      <c r="C8" s="9" t="n">
        <v>0</v>
      </c>
      <c r="D8" s="10" t="inlineStr">
        <is>
          <t>UNIDAD</t>
        </is>
      </c>
      <c r="E8" s="8" t="n">
        <v>0.0115</v>
      </c>
      <c r="F8" s="14">
        <f>C8*E8</f>
        <v/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2">
        <f>SUM(G8:AK8)</f>
        <v/>
      </c>
      <c r="AM8" s="23">
        <f>SUM(C8,AL8)</f>
        <v/>
      </c>
      <c r="AN8" s="25">
        <f>E8*AM8</f>
        <v/>
      </c>
    </row>
    <row r="9" ht="25.05" customHeight="1">
      <c r="A9" s="7" t="n">
        <v>582</v>
      </c>
      <c r="B9" s="7" t="inlineStr">
        <is>
          <t>SIROPE CHOCOLATE</t>
        </is>
      </c>
      <c r="C9" s="9" t="n">
        <v>0</v>
      </c>
      <c r="D9" s="10" t="inlineStr">
        <is>
          <t>BOTE</t>
        </is>
      </c>
      <c r="E9" s="8" t="n">
        <v>3.665663</v>
      </c>
      <c r="F9" s="14">
        <f>C9*E9</f>
        <v/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2">
        <f>SUM(G9:AK9)</f>
        <v/>
      </c>
      <c r="AM9" s="23">
        <f>SUM(C9,AL9)</f>
        <v/>
      </c>
      <c r="AN9" s="25">
        <f>E9*AM9</f>
        <v/>
      </c>
    </row>
    <row r="10" ht="25.05" customHeight="1">
      <c r="A10" s="7" t="n">
        <v>29084</v>
      </c>
      <c r="B10" s="7" t="inlineStr">
        <is>
          <t>SIROPE CHOCOLATE BLANCO 1200 GR</t>
        </is>
      </c>
      <c r="C10" s="9" t="n">
        <v>0</v>
      </c>
      <c r="D10" s="10" t="inlineStr">
        <is>
          <t>BOTELLA</t>
        </is>
      </c>
      <c r="E10" s="8" t="n">
        <v>4.38</v>
      </c>
      <c r="F10" s="14">
        <f>C10*E10</f>
        <v/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2">
        <f>SUM(G10:AK10)</f>
        <v/>
      </c>
      <c r="AM10" s="23">
        <f>SUM(C10,AL10)</f>
        <v/>
      </c>
      <c r="AN10" s="25">
        <f>E10*AM10</f>
        <v/>
      </c>
    </row>
    <row r="11" ht="25.05" customHeight="1">
      <c r="A11" s="7" t="n">
        <v>583</v>
      </c>
      <c r="B11" s="7" t="inlineStr">
        <is>
          <t>SIROPE FRESA</t>
        </is>
      </c>
      <c r="C11" s="9" t="n">
        <v>0</v>
      </c>
      <c r="D11" s="10" t="inlineStr">
        <is>
          <t>BOTE</t>
        </is>
      </c>
      <c r="E11" s="8" t="n">
        <v>3.26</v>
      </c>
      <c r="F11" s="14">
        <f>C11*E11</f>
        <v/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2">
        <f>SUM(G11:AK11)</f>
        <v/>
      </c>
      <c r="AM11" s="23">
        <f>SUM(C11,AL11)</f>
        <v/>
      </c>
      <c r="AN11" s="25">
        <f>E11*AM11</f>
        <v/>
      </c>
    </row>
    <row r="12" ht="25.05" customHeight="1">
      <c r="A12" s="7" t="n">
        <v>4835</v>
      </c>
      <c r="B12" s="7" t="inlineStr">
        <is>
          <t>BEBIDA SOJA ORIGINAL 100 CL</t>
        </is>
      </c>
      <c r="C12" s="9" t="n">
        <v>0</v>
      </c>
      <c r="D12" s="10" t="inlineStr">
        <is>
          <t>BRIK</t>
        </is>
      </c>
      <c r="E12" s="8" t="n">
        <v>1.006493</v>
      </c>
      <c r="F12" s="14">
        <f>C12*E12</f>
        <v/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2">
        <f>SUM(G12:AK12)</f>
        <v/>
      </c>
      <c r="AM12" s="23">
        <f>SUM(C12,AL12)</f>
        <v/>
      </c>
      <c r="AN12" s="25">
        <f>E12*AM12</f>
        <v/>
      </c>
    </row>
    <row r="13" ht="25.05" customHeight="1">
      <c r="A13" s="7" t="n">
        <v>27593</v>
      </c>
      <c r="B13" s="7" t="inlineStr">
        <is>
          <t>SUPLEMENTO PROTEINA CHOCOLATE</t>
        </is>
      </c>
      <c r="C13" s="9" t="n">
        <v>0</v>
      </c>
      <c r="D13" s="10" t="inlineStr">
        <is>
          <t>KILO</t>
        </is>
      </c>
      <c r="E13" s="8" t="n">
        <v>34.4</v>
      </c>
      <c r="F13" s="14">
        <f>C13*E13</f>
        <v/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2">
        <f>SUM(G13:AK13)</f>
        <v/>
      </c>
      <c r="AM13" s="23">
        <f>SUM(C13,AL13)</f>
        <v/>
      </c>
      <c r="AN13" s="25">
        <f>E13*AM13</f>
        <v/>
      </c>
    </row>
    <row r="14" ht="25.05" customHeight="1">
      <c r="A14" s="7" t="n">
        <v>27594</v>
      </c>
      <c r="B14" s="7" t="inlineStr">
        <is>
          <t>SUPLEMENTO PROTEINA FRESA</t>
        </is>
      </c>
      <c r="C14" s="9" t="n">
        <v>0</v>
      </c>
      <c r="D14" s="10" t="inlineStr">
        <is>
          <t>KILO</t>
        </is>
      </c>
      <c r="E14" s="8" t="n">
        <v>34.4</v>
      </c>
      <c r="F14" s="14">
        <f>C14*E14</f>
        <v/>
      </c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2">
        <f>SUM(G14:AK14)</f>
        <v/>
      </c>
      <c r="AM14" s="23">
        <f>SUM(C14,AL14)</f>
        <v/>
      </c>
      <c r="AN14" s="25">
        <f>E14*AM14</f>
        <v/>
      </c>
    </row>
    <row r="15" ht="25.05" customHeight="1">
      <c r="A15" s="7" t="n">
        <v>981168</v>
      </c>
      <c r="B15" s="7" t="inlineStr">
        <is>
          <t>SUPLEMENTO PROTEINA VAINILLA</t>
        </is>
      </c>
      <c r="C15" s="9" t="n">
        <v>0</v>
      </c>
      <c r="D15" s="10" t="inlineStr">
        <is>
          <t>KILO</t>
        </is>
      </c>
      <c r="E15" s="8" t="n">
        <v>34.4</v>
      </c>
      <c r="F15" s="14">
        <f>C15*E15</f>
        <v/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2">
        <f>SUM(G15:AK15)</f>
        <v/>
      </c>
      <c r="AM15" s="23">
        <f>SUM(C15,AL15)</f>
        <v/>
      </c>
      <c r="AN15" s="25">
        <f>E15*AM15</f>
        <v/>
      </c>
    </row>
    <row r="16" ht="25.05" customHeight="1">
      <c r="A16" s="7" t="n">
        <v>24683</v>
      </c>
      <c r="B16" s="7" t="inlineStr">
        <is>
          <t>BIB LECHE SEMIDESNATADA 10 LT</t>
        </is>
      </c>
      <c r="C16" s="9" t="n">
        <v>0</v>
      </c>
      <c r="D16" s="10" t="inlineStr">
        <is>
          <t>LITRO</t>
        </is>
      </c>
      <c r="E16" s="8" t="n">
        <v>0.9399999999999999</v>
      </c>
      <c r="F16" s="14">
        <f>C16*E16</f>
        <v/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2">
        <f>SUM(G16:AK16)</f>
        <v/>
      </c>
      <c r="AM16" s="23">
        <f>SUM(C16,AL16)</f>
        <v/>
      </c>
      <c r="AN16" s="25">
        <f>E16*AM16</f>
        <v/>
      </c>
    </row>
    <row r="17" ht="25.05" customHeight="1">
      <c r="A17" s="7" t="n">
        <v>17277</v>
      </c>
      <c r="B17" s="7" t="inlineStr">
        <is>
          <t>LECHE ALMENDRA 1 LT</t>
        </is>
      </c>
      <c r="C17" s="9" t="n">
        <v>0</v>
      </c>
      <c r="D17" s="10" t="inlineStr">
        <is>
          <t>BRIK</t>
        </is>
      </c>
      <c r="E17" s="8" t="n">
        <v>1.209042</v>
      </c>
      <c r="F17" s="14">
        <f>C17*E17</f>
        <v/>
      </c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2">
        <f>SUM(G17:AK17)</f>
        <v/>
      </c>
      <c r="AM17" s="23">
        <f>SUM(C17,AL17)</f>
        <v/>
      </c>
      <c r="AN17" s="25">
        <f>E17*AM17</f>
        <v/>
      </c>
    </row>
    <row r="18" ht="25.05" customHeight="1">
      <c r="A18" s="7" t="n">
        <v>10043</v>
      </c>
      <c r="B18" s="7" t="inlineStr">
        <is>
          <t>LECHE AVENA 1 LT</t>
        </is>
      </c>
      <c r="C18" s="9" t="n">
        <v>0</v>
      </c>
      <c r="D18" s="10" t="inlineStr">
        <is>
          <t>BRIK</t>
        </is>
      </c>
      <c r="E18" s="8" t="n">
        <v>1.162183</v>
      </c>
      <c r="F18" s="14">
        <f>C18*E18</f>
        <v/>
      </c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2">
        <f>SUM(G18:AK18)</f>
        <v/>
      </c>
      <c r="AM18" s="23">
        <f>SUM(C18,AL18)</f>
        <v/>
      </c>
      <c r="AN18" s="25">
        <f>E18*AM18</f>
        <v/>
      </c>
    </row>
    <row r="19" ht="25.05" customHeight="1">
      <c r="A19" s="7" t="n">
        <v>5919</v>
      </c>
      <c r="B19" s="7" t="inlineStr">
        <is>
          <t>LECHE SEMIDESNATADA 1 LT</t>
        </is>
      </c>
      <c r="C19" s="9" t="n">
        <v>0</v>
      </c>
      <c r="D19" s="10" t="inlineStr">
        <is>
          <t>BRIK</t>
        </is>
      </c>
      <c r="E19" s="8" t="n">
        <v>0.9399999999999999</v>
      </c>
      <c r="F19" s="14">
        <f>C19*E19</f>
        <v/>
      </c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2">
        <f>SUM(G19:AK19)</f>
        <v/>
      </c>
      <c r="AM19" s="23">
        <f>SUM(C19,AL19)</f>
        <v/>
      </c>
      <c r="AN19" s="25">
        <f>E19*AM19</f>
        <v/>
      </c>
    </row>
    <row r="20" ht="25.05" customHeight="1">
      <c r="A20" s="7" t="n">
        <v>11082</v>
      </c>
      <c r="B20" s="7" t="inlineStr">
        <is>
          <t>LECHE SEMIDESNATADA SIN LACTOSA BRIK 1 LT</t>
        </is>
      </c>
      <c r="C20" s="9" t="n">
        <v>0</v>
      </c>
      <c r="D20" s="10" t="inlineStr">
        <is>
          <t>BRIK</t>
        </is>
      </c>
      <c r="E20" s="8" t="n">
        <v>1.146622</v>
      </c>
      <c r="F20" s="14">
        <f>C20*E20</f>
        <v/>
      </c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2">
        <f>SUM(G20:AK20)</f>
        <v/>
      </c>
      <c r="AM20" s="23">
        <f>SUM(C20,AL20)</f>
        <v/>
      </c>
      <c r="AN20" s="25">
        <f>E20*AM20</f>
        <v/>
      </c>
    </row>
    <row r="21" ht="25.05" customHeight="1">
      <c r="A21" s="7" t="n">
        <v>503</v>
      </c>
      <c r="B21" s="7" t="inlineStr">
        <is>
          <t>CAFE GRANO BLEND PROFONDO/ELEGANTE 1 KG</t>
        </is>
      </c>
      <c r="C21" s="9" t="n">
        <v>0</v>
      </c>
      <c r="D21" s="10" t="inlineStr">
        <is>
          <t>KILO</t>
        </is>
      </c>
      <c r="E21" s="8" t="n">
        <v>12.67</v>
      </c>
      <c r="F21" s="14">
        <f>C21*E21</f>
        <v/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2">
        <f>SUM(G21:AK21)</f>
        <v/>
      </c>
      <c r="AM21" s="23">
        <f>SUM(C21,AL21)</f>
        <v/>
      </c>
      <c r="AN21" s="25">
        <f>E21*AM21</f>
        <v/>
      </c>
    </row>
    <row r="22" ht="25.05" customHeight="1">
      <c r="A22" s="7" t="n">
        <v>4135</v>
      </c>
      <c r="B22" s="7" t="inlineStr">
        <is>
          <t>CAFE GRANO DESCAFEINADO 500 GR</t>
        </is>
      </c>
      <c r="C22" s="9" t="n">
        <v>0</v>
      </c>
      <c r="D22" s="10" t="inlineStr">
        <is>
          <t>PAQUETE</t>
        </is>
      </c>
      <c r="E22" s="8" t="n">
        <v>6.209897</v>
      </c>
      <c r="F22" s="14">
        <f>C22*E22</f>
        <v/>
      </c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2">
        <f>SUM(G22:AK22)</f>
        <v/>
      </c>
      <c r="AM22" s="23">
        <f>SUM(C22,AL22)</f>
        <v/>
      </c>
      <c r="AN22" s="25">
        <f>E22*AM22</f>
        <v/>
      </c>
    </row>
    <row r="23" ht="25.05" customHeight="1">
      <c r="A23" s="7" t="n">
        <v>986076</v>
      </c>
      <c r="B23" s="7" t="inlineStr">
        <is>
          <t>TE MATCHA POLVO 500 GR</t>
        </is>
      </c>
      <c r="C23" s="9" t="n">
        <v>0</v>
      </c>
      <c r="D23" s="10" t="inlineStr">
        <is>
          <t>UNIDAD</t>
        </is>
      </c>
      <c r="E23" s="8" t="n">
        <v>47.95</v>
      </c>
      <c r="F23" s="14">
        <f>C23*E23</f>
        <v/>
      </c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2">
        <f>SUM(G23:AK23)</f>
        <v/>
      </c>
      <c r="AM23" s="23">
        <f>SUM(C23,AL23)</f>
        <v/>
      </c>
      <c r="AN23" s="25">
        <f>E23*AM23</f>
        <v/>
      </c>
    </row>
    <row r="24" ht="25.05" customHeight="1">
      <c r="A24" s="7" t="n">
        <v>23775</v>
      </c>
      <c r="B24" s="7" t="inlineStr">
        <is>
          <t>TE/INFUSION BOLSITA IND PAPEL ENGLISH BREAKFAST 1.5 GR 30 UD</t>
        </is>
      </c>
      <c r="C24" s="9" t="n">
        <v>0</v>
      </c>
      <c r="D24" s="10" t="inlineStr">
        <is>
          <t>UNIDAD</t>
        </is>
      </c>
      <c r="E24" s="8" t="n">
        <v>0.07403800000000001</v>
      </c>
      <c r="F24" s="14">
        <f>C24*E24</f>
        <v/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2">
        <f>SUM(G24:AK24)</f>
        <v/>
      </c>
      <c r="AM24" s="23">
        <f>SUM(C24,AL24)</f>
        <v/>
      </c>
      <c r="AN24" s="25">
        <f>E24*AM24</f>
        <v/>
      </c>
    </row>
    <row r="25" ht="25.05" customHeight="1">
      <c r="A25" s="7" t="n">
        <v>23773</v>
      </c>
      <c r="B25" s="7" t="inlineStr">
        <is>
          <t>TE/INFUSION BOLSITA IND PAPEL MENTA 1.5 GR 30 UD</t>
        </is>
      </c>
      <c r="C25" s="9" t="n">
        <v>0</v>
      </c>
      <c r="D25" s="10" t="inlineStr">
        <is>
          <t>UNIDAD</t>
        </is>
      </c>
      <c r="E25" s="8" t="n">
        <v>0.071868</v>
      </c>
      <c r="F25" s="14">
        <f>C25*E25</f>
        <v/>
      </c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2">
        <f>SUM(G25:AK25)</f>
        <v/>
      </c>
      <c r="AM25" s="23">
        <f>SUM(C25,AL25)</f>
        <v/>
      </c>
      <c r="AN25" s="25">
        <f>E25*AM25</f>
        <v/>
      </c>
    </row>
    <row r="26" ht="25.05" customHeight="1">
      <c r="A26" s="7" t="n">
        <v>23874</v>
      </c>
      <c r="B26" s="7" t="inlineStr">
        <is>
          <t>TE/INFUSION BOLSITA IND PAPEL ROJO 1.5 GR 30 UD</t>
        </is>
      </c>
      <c r="C26" s="9" t="n">
        <v>0</v>
      </c>
      <c r="D26" s="10" t="inlineStr">
        <is>
          <t>UNIDAD</t>
        </is>
      </c>
      <c r="E26" s="8" t="n">
        <v>0.08250300000000001</v>
      </c>
      <c r="F26" s="14">
        <f>C26*E26</f>
        <v/>
      </c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2">
        <f>SUM(G26:AK26)</f>
        <v/>
      </c>
      <c r="AM26" s="23">
        <f>SUM(C26,AL26)</f>
        <v/>
      </c>
      <c r="AN26" s="25">
        <f>E26*AM26</f>
        <v/>
      </c>
    </row>
    <row r="27" ht="25.05" customHeight="1">
      <c r="A27" s="7" t="n">
        <v>28431</v>
      </c>
      <c r="B27" s="7" t="inlineStr">
        <is>
          <t>JARABE AVELLANA S/ALCOHOL 70 CL</t>
        </is>
      </c>
      <c r="C27" s="9" t="n">
        <v>0</v>
      </c>
      <c r="D27" s="10" t="inlineStr">
        <is>
          <t>BOTELLA</t>
        </is>
      </c>
      <c r="E27" s="8" t="n">
        <v>10.1</v>
      </c>
      <c r="F27" s="14">
        <f>C27*E27</f>
        <v/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2">
        <f>SUM(G27:AK27)</f>
        <v/>
      </c>
      <c r="AM27" s="23">
        <f>SUM(C27,AL27)</f>
        <v/>
      </c>
      <c r="AN27" s="25">
        <f>E27*AM27</f>
        <v/>
      </c>
    </row>
    <row r="28" ht="25.05" customHeight="1">
      <c r="A28" s="7" t="n">
        <v>28414</v>
      </c>
      <c r="B28" s="7" t="inlineStr">
        <is>
          <t>JARABE CARAMELO S/AZUCAR 70 CL</t>
        </is>
      </c>
      <c r="C28" s="9" t="n">
        <v>0</v>
      </c>
      <c r="D28" s="10" t="inlineStr">
        <is>
          <t>BOTELLA</t>
        </is>
      </c>
      <c r="E28" s="8" t="n">
        <v>10.98</v>
      </c>
      <c r="F28" s="14">
        <f>C28*E28</f>
        <v/>
      </c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2">
        <f>SUM(G28:AK28)</f>
        <v/>
      </c>
      <c r="AM28" s="23">
        <f>SUM(C28,AL28)</f>
        <v/>
      </c>
      <c r="AN28" s="25">
        <f>E28*AM28</f>
        <v/>
      </c>
    </row>
    <row r="29" ht="25.05" customHeight="1">
      <c r="A29" s="7" t="n">
        <v>28371</v>
      </c>
      <c r="B29" s="7" t="inlineStr">
        <is>
          <t>JARABE CONCENTRADO CLOUDY LEMONADE 70 CL</t>
        </is>
      </c>
      <c r="C29" s="9" t="n">
        <v>0</v>
      </c>
      <c r="D29" s="10" t="inlineStr">
        <is>
          <t>BOTELLA</t>
        </is>
      </c>
      <c r="E29" s="8" t="n">
        <v>10.88</v>
      </c>
      <c r="F29" s="14">
        <f>C29*E29</f>
        <v/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2">
        <f>SUM(G29:AK29)</f>
        <v/>
      </c>
      <c r="AM29" s="23">
        <f>SUM(C29,AL29)</f>
        <v/>
      </c>
      <c r="AN29" s="25">
        <f>E29*AM29</f>
        <v/>
      </c>
    </row>
    <row r="30" ht="25.05" customHeight="1">
      <c r="A30" s="7" t="n">
        <v>28416</v>
      </c>
      <c r="B30" s="7" t="inlineStr">
        <is>
          <t>JARABE CONCENTRADO TE DE LIMON MONIN  70 CL</t>
        </is>
      </c>
      <c r="C30" s="9" t="n">
        <v>0</v>
      </c>
      <c r="D30" s="10" t="inlineStr">
        <is>
          <t>BOTELLA</t>
        </is>
      </c>
      <c r="E30" s="8" t="n">
        <v>10.67</v>
      </c>
      <c r="F30" s="14">
        <f>C30*E30</f>
        <v/>
      </c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2">
        <f>SUM(G30:AK30)</f>
        <v/>
      </c>
      <c r="AM30" s="23">
        <f>SUM(C30,AL30)</f>
        <v/>
      </c>
      <c r="AN30" s="25">
        <f>E30*AM30</f>
        <v/>
      </c>
    </row>
    <row r="31" ht="25.05" customHeight="1">
      <c r="A31" s="7" t="n">
        <v>12196</v>
      </c>
      <c r="B31" s="7" t="inlineStr">
        <is>
          <t>JARABE JENGIBRE CONCENTRADO S/ALCOHOL 70 CL</t>
        </is>
      </c>
      <c r="C31" s="9" t="n">
        <v>0</v>
      </c>
      <c r="D31" s="10" t="inlineStr">
        <is>
          <t>BOTELLA</t>
        </is>
      </c>
      <c r="E31" s="8" t="n">
        <v>10.34</v>
      </c>
      <c r="F31" s="14">
        <f>C31*E31</f>
        <v/>
      </c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2">
        <f>SUM(G31:AK31)</f>
        <v/>
      </c>
      <c r="AM31" s="23">
        <f>SUM(C31,AL31)</f>
        <v/>
      </c>
      <c r="AN31" s="25">
        <f>E31*AM31</f>
        <v/>
      </c>
    </row>
    <row r="32" ht="25.05" customHeight="1">
      <c r="A32" s="7" t="n">
        <v>28370</v>
      </c>
      <c r="B32" s="7" t="inlineStr">
        <is>
          <t>JARABE TE CHAI S/ALCOHOL 70 CL</t>
        </is>
      </c>
      <c r="C32" s="9" t="n">
        <v>0</v>
      </c>
      <c r="D32" s="10" t="inlineStr">
        <is>
          <t>BOTELLA</t>
        </is>
      </c>
      <c r="E32" s="8" t="n">
        <v>10.49</v>
      </c>
      <c r="F32" s="14">
        <f>C32*E32</f>
        <v/>
      </c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2">
        <f>SUM(G32:AK32)</f>
        <v/>
      </c>
      <c r="AM32" s="23">
        <f>SUM(C32,AL32)</f>
        <v/>
      </c>
      <c r="AN32" s="25">
        <f>E32*AM32</f>
        <v/>
      </c>
    </row>
    <row r="33" ht="25.05" customHeight="1">
      <c r="A33" s="7" t="n">
        <v>12438</v>
      </c>
      <c r="B33" s="7" t="inlineStr">
        <is>
          <t>JARABE VAINILLA S/ALCOHOL 100 CL</t>
        </is>
      </c>
      <c r="C33" s="9" t="n">
        <v>0</v>
      </c>
      <c r="D33" s="10" t="inlineStr">
        <is>
          <t>BOTELLA</t>
        </is>
      </c>
      <c r="E33" s="8" t="n">
        <v>11.09</v>
      </c>
      <c r="F33" s="14">
        <f>C33*E33</f>
        <v/>
      </c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2">
        <f>SUM(G33:AK33)</f>
        <v/>
      </c>
      <c r="AM33" s="23">
        <f>SUM(C33,AL33)</f>
        <v/>
      </c>
      <c r="AN33" s="25">
        <f>E33*AM33</f>
        <v/>
      </c>
    </row>
    <row r="34" ht="25.05" customHeight="1">
      <c r="A34" s="7" t="n">
        <v>962370</v>
      </c>
      <c r="B34" s="7" t="inlineStr">
        <is>
          <t>PURE FRUTA FRUTOS ROJOS 100 CL</t>
        </is>
      </c>
      <c r="C34" s="9" t="n">
        <v>0</v>
      </c>
      <c r="D34" s="10" t="inlineStr">
        <is>
          <t>BOTELLA</t>
        </is>
      </c>
      <c r="E34" s="8" t="n">
        <v>16.68</v>
      </c>
      <c r="F34" s="14">
        <f>C34*E34</f>
        <v/>
      </c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2">
        <f>SUM(G34:AK34)</f>
        <v/>
      </c>
      <c r="AM34" s="23">
        <f>SUM(C34,AL34)</f>
        <v/>
      </c>
      <c r="AN34" s="25">
        <f>E34*AM34</f>
        <v/>
      </c>
    </row>
    <row r="35" ht="25.05" customHeight="1">
      <c r="A35" s="7" t="n">
        <v>14099</v>
      </c>
      <c r="B35" s="7" t="inlineStr">
        <is>
          <t>PURE FRUTA MARACUYA 100 CL</t>
        </is>
      </c>
      <c r="C35" s="9" t="n">
        <v>0</v>
      </c>
      <c r="D35" s="10" t="inlineStr">
        <is>
          <t>BOTELLA</t>
        </is>
      </c>
      <c r="E35" s="8" t="n">
        <v>16.89</v>
      </c>
      <c r="F35" s="14">
        <f>C35*E35</f>
        <v/>
      </c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2">
        <f>SUM(G35:AK35)</f>
        <v/>
      </c>
      <c r="AM35" s="23">
        <f>SUM(C35,AL35)</f>
        <v/>
      </c>
      <c r="AN35" s="25">
        <f>E35*AM35</f>
        <v/>
      </c>
    </row>
    <row r="36" ht="25.05" customHeight="1">
      <c r="A36" s="7" t="n">
        <v>22567</v>
      </c>
      <c r="B36" s="7" t="inlineStr">
        <is>
          <t>PURE FRUTA YUZU 100 CL</t>
        </is>
      </c>
      <c r="C36" s="9" t="n">
        <v>0</v>
      </c>
      <c r="D36" s="10" t="inlineStr">
        <is>
          <t>BOTELLA</t>
        </is>
      </c>
      <c r="E36" s="8" t="n">
        <v>19.89</v>
      </c>
      <c r="F36" s="14">
        <f>C36*E36</f>
        <v/>
      </c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2">
        <f>SUM(G36:AK36)</f>
        <v/>
      </c>
      <c r="AM36" s="23">
        <f>SUM(C36,AL36)</f>
        <v/>
      </c>
      <c r="AN36" s="25">
        <f>E36*AM36</f>
        <v/>
      </c>
    </row>
    <row r="37" ht="25.05" customHeight="1">
      <c r="A37" s="32" t="inlineStr">
        <is>
          <t>23771</t>
        </is>
      </c>
      <c r="B37" s="32" t="inlineStr">
        <is>
          <t>TE/INFUSION BOLSITA IND PAPEL MANZANILLA 1.5 GR 30 UD</t>
        </is>
      </c>
      <c r="C37" s="9" t="n">
        <v>0</v>
      </c>
      <c r="D37" s="33" t="inlineStr">
        <is>
          <t>UNIDAD</t>
        </is>
      </c>
      <c r="E37" s="8" t="n">
        <v>0.07242999999999999</v>
      </c>
      <c r="F37" s="14">
        <f>C37*E37</f>
        <v/>
      </c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2">
        <f>SUM(G37:AK37)</f>
        <v/>
      </c>
      <c r="AM37" s="23">
        <f>SUM(C37,AL37)</f>
        <v/>
      </c>
      <c r="AN37" s="25">
        <f>E37*AM37</f>
        <v/>
      </c>
    </row>
    <row r="38" ht="22.05" customHeight="1">
      <c r="C38" s="11">
        <f>SUM(C7:C37)</f>
        <v/>
      </c>
      <c r="E38" s="12" t="inlineStr">
        <is>
          <t>ESTOCAJE  INICIAL</t>
        </is>
      </c>
      <c r="F38" s="13">
        <f>SUM(F7:F37)</f>
        <v/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26">
        <f>SUM(AN7:AN37)</f>
        <v/>
      </c>
    </row>
    <row r="39" ht="22.05" customHeight="1"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 ht="22.05" customHeight="1"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</row>
    <row r="41" ht="22.05" customHeight="1"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 ht="22.05" customHeight="1"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</row>
    <row r="43" ht="22.05" customHeight="1"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 ht="22.05" customHeight="1"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</row>
    <row r="45" ht="22.05" customHeight="1"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 ht="22.05" customHeight="1"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</row>
    <row r="47" ht="22.05" customHeight="1"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 ht="22.05" customHeight="1"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</row>
    <row r="49" ht="22.05" customHeight="1"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 ht="22.05" customHeight="1"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</row>
    <row r="51" ht="22.05" customHeight="1"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 ht="22.05" customHeight="1"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</row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F6"/>
  <mergeCells count="3">
    <mergeCell ref="AL5:AL6"/>
    <mergeCell ref="AN5:AN6"/>
    <mergeCell ref="AM5:AM6"/>
  </mergeCells>
  <conditionalFormatting sqref="C7:C36">
    <cfRule type="expression" priority="1" dxfId="0">
      <formula>C7&gt;#REF!</formula>
    </cfRule>
  </conditionalFormatting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2026-08-29T13:16:26Z</dcterms:created>
  <dcterms:modified xsi:type="dcterms:W3CDTF">2026-08-29T13:16:26Z</dcterms:modified>
  <cp:lastModifiedBy>Walter Cutiño Ledo</cp:lastModifiedBy>
</cp:coreProperties>
</file>