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nformatica\PORTAFOLIO - CONTENIDO EN REDES SOCIALES\PROYECTOS SUBIDOS\Iberostar - SUPERFICIE\plantillas\"/>
    </mc:Choice>
  </mc:AlternateContent>
  <xr:revisionPtr revIDLastSave="0" documentId="13_ncr:1_{C7FDF747-A542-4E36-BA4D-1A0CAD82A5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traccion" sheetId="1" r:id="rId1"/>
  </sheets>
  <definedNames>
    <definedName name="_xlnm._FilterDatabase" localSheetId="0" hidden="1">extraccion!$A$6:$F$6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1" l="1"/>
  <c r="AL79" i="1" l="1"/>
  <c r="AM79" i="1" s="1"/>
  <c r="AN79" i="1" s="1"/>
  <c r="F79" i="1"/>
  <c r="AL78" i="1"/>
  <c r="AM78" i="1" s="1"/>
  <c r="AN78" i="1" s="1"/>
  <c r="F78" i="1"/>
  <c r="AL77" i="1"/>
  <c r="AM77" i="1" s="1"/>
  <c r="AN77" i="1" s="1"/>
  <c r="F77" i="1"/>
  <c r="AL76" i="1"/>
  <c r="AM76" i="1" s="1"/>
  <c r="AN76" i="1" s="1"/>
  <c r="F76" i="1"/>
  <c r="AL75" i="1"/>
  <c r="AM75" i="1" s="1"/>
  <c r="AN75" i="1" s="1"/>
  <c r="F75" i="1"/>
  <c r="AL74" i="1"/>
  <c r="AM74" i="1" s="1"/>
  <c r="AN74" i="1" s="1"/>
  <c r="F74" i="1"/>
  <c r="AL73" i="1"/>
  <c r="AM73" i="1" s="1"/>
  <c r="AN73" i="1" s="1"/>
  <c r="F73" i="1"/>
  <c r="AL72" i="1"/>
  <c r="AM72" i="1" s="1"/>
  <c r="AN72" i="1" s="1"/>
  <c r="F72" i="1"/>
  <c r="AL71" i="1"/>
  <c r="AM71" i="1" s="1"/>
  <c r="AN71" i="1" s="1"/>
  <c r="F71" i="1"/>
  <c r="AL70" i="1"/>
  <c r="AM70" i="1" s="1"/>
  <c r="AN70" i="1" s="1"/>
  <c r="F70" i="1"/>
  <c r="AL69" i="1"/>
  <c r="AM69" i="1" s="1"/>
  <c r="AN69" i="1" s="1"/>
  <c r="F69" i="1"/>
  <c r="AL68" i="1"/>
  <c r="AM68" i="1" s="1"/>
  <c r="AN68" i="1" s="1"/>
  <c r="F68" i="1"/>
  <c r="AL67" i="1"/>
  <c r="AM67" i="1" s="1"/>
  <c r="AN67" i="1" s="1"/>
  <c r="F67" i="1"/>
  <c r="AL66" i="1"/>
  <c r="AM66" i="1" s="1"/>
  <c r="AN66" i="1" s="1"/>
  <c r="F66" i="1"/>
  <c r="AL65" i="1"/>
  <c r="AM65" i="1" s="1"/>
  <c r="AN65" i="1" s="1"/>
  <c r="F65" i="1"/>
  <c r="AL64" i="1"/>
  <c r="AM64" i="1" s="1"/>
  <c r="AN64" i="1" s="1"/>
  <c r="F64" i="1"/>
  <c r="AL63" i="1"/>
  <c r="AM63" i="1" s="1"/>
  <c r="AN63" i="1" s="1"/>
  <c r="F63" i="1"/>
  <c r="AL62" i="1"/>
  <c r="AM62" i="1" s="1"/>
  <c r="AN62" i="1" s="1"/>
  <c r="F62" i="1"/>
  <c r="AL61" i="1"/>
  <c r="AM61" i="1" s="1"/>
  <c r="AN61" i="1" s="1"/>
  <c r="F61" i="1"/>
  <c r="AL60" i="1"/>
  <c r="AM60" i="1" s="1"/>
  <c r="AN60" i="1" s="1"/>
  <c r="F60" i="1"/>
  <c r="AL59" i="1"/>
  <c r="AM59" i="1" s="1"/>
  <c r="AN59" i="1" s="1"/>
  <c r="F59" i="1"/>
  <c r="AL58" i="1"/>
  <c r="AM58" i="1" s="1"/>
  <c r="AN58" i="1" s="1"/>
  <c r="F58" i="1"/>
  <c r="AL57" i="1"/>
  <c r="AM57" i="1" s="1"/>
  <c r="AN57" i="1" s="1"/>
  <c r="F57" i="1"/>
  <c r="AL56" i="1"/>
  <c r="AM56" i="1" s="1"/>
  <c r="AN56" i="1" s="1"/>
  <c r="F56" i="1"/>
  <c r="AL55" i="1"/>
  <c r="AM55" i="1" s="1"/>
  <c r="AN55" i="1" s="1"/>
  <c r="F55" i="1"/>
  <c r="AL54" i="1"/>
  <c r="AM54" i="1" s="1"/>
  <c r="AN54" i="1" s="1"/>
  <c r="F54" i="1"/>
  <c r="AL53" i="1"/>
  <c r="AM53" i="1" s="1"/>
  <c r="AN53" i="1" s="1"/>
  <c r="F53" i="1"/>
  <c r="AL52" i="1"/>
  <c r="AM52" i="1" s="1"/>
  <c r="AN52" i="1" s="1"/>
  <c r="F52" i="1"/>
  <c r="AL51" i="1"/>
  <c r="AM51" i="1" s="1"/>
  <c r="AN51" i="1" s="1"/>
  <c r="F51" i="1"/>
  <c r="AL50" i="1"/>
  <c r="AM50" i="1" s="1"/>
  <c r="AN50" i="1" s="1"/>
  <c r="F50" i="1"/>
  <c r="AL49" i="1"/>
  <c r="AM49" i="1" s="1"/>
  <c r="AN49" i="1" s="1"/>
  <c r="F49" i="1"/>
  <c r="AL48" i="1"/>
  <c r="AM48" i="1" s="1"/>
  <c r="AN48" i="1" s="1"/>
  <c r="F48" i="1"/>
  <c r="AL47" i="1"/>
  <c r="AM47" i="1" s="1"/>
  <c r="AN47" i="1" s="1"/>
  <c r="F47" i="1"/>
  <c r="AL46" i="1"/>
  <c r="AM46" i="1" s="1"/>
  <c r="AN46" i="1" s="1"/>
  <c r="F46" i="1"/>
  <c r="AL45" i="1"/>
  <c r="AM45" i="1" s="1"/>
  <c r="AN45" i="1" s="1"/>
  <c r="F45" i="1"/>
  <c r="AL44" i="1"/>
  <c r="AM44" i="1" s="1"/>
  <c r="AN44" i="1" s="1"/>
  <c r="F44" i="1"/>
  <c r="AL43" i="1"/>
  <c r="AM43" i="1" s="1"/>
  <c r="AN43" i="1" s="1"/>
  <c r="F43" i="1"/>
  <c r="AL42" i="1"/>
  <c r="AM42" i="1" s="1"/>
  <c r="AN42" i="1" s="1"/>
  <c r="F42" i="1"/>
  <c r="AL41" i="1"/>
  <c r="AM41" i="1" s="1"/>
  <c r="AN41" i="1" s="1"/>
  <c r="F41" i="1"/>
  <c r="AL40" i="1"/>
  <c r="AM40" i="1" s="1"/>
  <c r="AN40" i="1" s="1"/>
  <c r="F40" i="1"/>
  <c r="AL39" i="1"/>
  <c r="AM39" i="1" s="1"/>
  <c r="AN39" i="1" s="1"/>
  <c r="F39" i="1"/>
  <c r="AL38" i="1"/>
  <c r="AM38" i="1" s="1"/>
  <c r="AN38" i="1" s="1"/>
  <c r="F38" i="1"/>
  <c r="AL37" i="1"/>
  <c r="AM37" i="1" s="1"/>
  <c r="AN37" i="1" s="1"/>
  <c r="F37" i="1"/>
  <c r="AL36" i="1"/>
  <c r="AM36" i="1" s="1"/>
  <c r="AN36" i="1" s="1"/>
  <c r="F36" i="1"/>
  <c r="AL35" i="1"/>
  <c r="AM35" i="1" s="1"/>
  <c r="AN35" i="1" s="1"/>
  <c r="F35" i="1"/>
  <c r="AL34" i="1"/>
  <c r="AM34" i="1" s="1"/>
  <c r="AN34" i="1" s="1"/>
  <c r="F34" i="1"/>
  <c r="AL33" i="1"/>
  <c r="AM33" i="1" s="1"/>
  <c r="AN33" i="1" s="1"/>
  <c r="F33" i="1"/>
  <c r="AL32" i="1"/>
  <c r="AM32" i="1" s="1"/>
  <c r="AN32" i="1" s="1"/>
  <c r="F32" i="1"/>
  <c r="AL31" i="1"/>
  <c r="AM31" i="1" s="1"/>
  <c r="AN31" i="1" s="1"/>
  <c r="F31" i="1"/>
  <c r="AL30" i="1"/>
  <c r="AM30" i="1" s="1"/>
  <c r="AN30" i="1" s="1"/>
  <c r="F30" i="1"/>
  <c r="AL29" i="1"/>
  <c r="AM29" i="1" s="1"/>
  <c r="AN29" i="1" s="1"/>
  <c r="F29" i="1"/>
  <c r="AL28" i="1"/>
  <c r="AM28" i="1" s="1"/>
  <c r="AN28" i="1" s="1"/>
  <c r="F28" i="1"/>
  <c r="AL27" i="1"/>
  <c r="AM27" i="1" s="1"/>
  <c r="AN27" i="1" s="1"/>
  <c r="F27" i="1"/>
  <c r="AL26" i="1"/>
  <c r="AM26" i="1" s="1"/>
  <c r="AN26" i="1" s="1"/>
  <c r="F26" i="1"/>
  <c r="AL25" i="1"/>
  <c r="AM25" i="1" s="1"/>
  <c r="AN25" i="1" s="1"/>
  <c r="F25" i="1"/>
  <c r="AL24" i="1"/>
  <c r="AM24" i="1" s="1"/>
  <c r="AN24" i="1" s="1"/>
  <c r="F24" i="1"/>
  <c r="AL23" i="1"/>
  <c r="AM23" i="1" s="1"/>
  <c r="AN23" i="1" s="1"/>
  <c r="F23" i="1"/>
  <c r="AL22" i="1"/>
  <c r="AM22" i="1" s="1"/>
  <c r="AN22" i="1" s="1"/>
  <c r="F22" i="1"/>
  <c r="AL21" i="1"/>
  <c r="AM21" i="1" s="1"/>
  <c r="AN21" i="1" s="1"/>
  <c r="F21" i="1"/>
  <c r="AL20" i="1"/>
  <c r="AM20" i="1" s="1"/>
  <c r="AN20" i="1" s="1"/>
  <c r="F20" i="1"/>
  <c r="AL19" i="1"/>
  <c r="AM19" i="1" s="1"/>
  <c r="AN19" i="1" s="1"/>
  <c r="F19" i="1"/>
  <c r="AL18" i="1"/>
  <c r="AM18" i="1" s="1"/>
  <c r="AN18" i="1" s="1"/>
  <c r="F18" i="1"/>
  <c r="AL17" i="1"/>
  <c r="AM17" i="1" s="1"/>
  <c r="AN17" i="1" s="1"/>
  <c r="F17" i="1"/>
  <c r="AL16" i="1"/>
  <c r="AM16" i="1" s="1"/>
  <c r="AN16" i="1" s="1"/>
  <c r="F16" i="1"/>
  <c r="AL15" i="1"/>
  <c r="AM15" i="1" s="1"/>
  <c r="AN15" i="1" s="1"/>
  <c r="F15" i="1"/>
  <c r="AL14" i="1"/>
  <c r="AM14" i="1" s="1"/>
  <c r="AN14" i="1" s="1"/>
  <c r="F14" i="1"/>
  <c r="AL13" i="1"/>
  <c r="AM13" i="1" s="1"/>
  <c r="AN13" i="1" s="1"/>
  <c r="F13" i="1"/>
  <c r="AL12" i="1"/>
  <c r="AM12" i="1" s="1"/>
  <c r="AN12" i="1" s="1"/>
  <c r="F12" i="1"/>
  <c r="AL11" i="1"/>
  <c r="AM11" i="1" s="1"/>
  <c r="AN11" i="1" s="1"/>
  <c r="F11" i="1"/>
  <c r="AL10" i="1"/>
  <c r="AM10" i="1" s="1"/>
  <c r="AN10" i="1" s="1"/>
  <c r="F10" i="1"/>
  <c r="AL9" i="1"/>
  <c r="AM9" i="1" s="1"/>
  <c r="AN9" i="1" s="1"/>
  <c r="F9" i="1"/>
  <c r="AL8" i="1"/>
  <c r="AM8" i="1" s="1"/>
  <c r="AN8" i="1" s="1"/>
  <c r="F8" i="1"/>
  <c r="AL7" i="1"/>
  <c r="F7" i="1"/>
  <c r="F80" i="1" l="1"/>
  <c r="AL80" i="1"/>
  <c r="AM7" i="1"/>
  <c r="AM80" i="1" l="1"/>
  <c r="AN7" i="1"/>
  <c r="AN80" i="1" s="1"/>
</calcChain>
</file>

<file path=xl/sharedStrings.xml><?xml version="1.0" encoding="utf-8"?>
<sst xmlns="http://schemas.openxmlformats.org/spreadsheetml/2006/main" count="188" uniqueCount="94">
  <si>
    <t>X</t>
  </si>
  <si>
    <t>J</t>
  </si>
  <si>
    <t>V</t>
  </si>
  <si>
    <t>S</t>
  </si>
  <si>
    <t>D</t>
  </si>
  <si>
    <t>L</t>
  </si>
  <si>
    <t>M</t>
  </si>
  <si>
    <t>EXTRACION
  MENSUAL</t>
  </si>
  <si>
    <t xml:space="preserve">suma  stok inicial
+  estracion mensual   </t>
  </si>
  <si>
    <t>Cód.Art.</t>
  </si>
  <si>
    <t>Artículo</t>
  </si>
  <si>
    <t>Cnt.Stk.</t>
  </si>
  <si>
    <t>Frm.Stk.</t>
  </si>
  <si>
    <t>Prc.Med.EUR</t>
  </si>
  <si>
    <t>Total EUR</t>
  </si>
  <si>
    <t>VALOR</t>
  </si>
  <si>
    <t>AZUCAR TERRON BLANCO 4 GR</t>
  </si>
  <si>
    <t>UNIDAD</t>
  </si>
  <si>
    <t>AZUCAR TERRON MORENO 4 GR</t>
  </si>
  <si>
    <t>EDULCORANTE PASTILLAS 650 UD</t>
  </si>
  <si>
    <t>CREMA LECHE 100 GR</t>
  </si>
  <si>
    <t>BOTELLA</t>
  </si>
  <si>
    <t>VINO GEN CHICLANERO 16 LT</t>
  </si>
  <si>
    <t>LITRO</t>
  </si>
  <si>
    <t>VINO GEN CHICLANERO 37,5 CL</t>
  </si>
  <si>
    <t>VINO GEN FINO OLOROSO GRANEL</t>
  </si>
  <si>
    <t>VINO GEN OLOROSO 50 CL</t>
  </si>
  <si>
    <t>CAFE MONODOSIS COMPOSTABLE DESCAFEINADO</t>
  </si>
  <si>
    <t>CAFE MONODOSIS COMPOSTABLE INTENSO</t>
  </si>
  <si>
    <t>CAVA CASTELL D'ORDAL BRUT 75 CL</t>
  </si>
  <si>
    <t>CAVA CASTELL D'ORDAL RDO SEMI 75 CL</t>
  </si>
  <si>
    <t>CAVA ELYSSIA GRAN CUVEE BRUT 75 CL</t>
  </si>
  <si>
    <t>CAVA ELYSSIA PINOT NOIR ROSE   75 CL</t>
  </si>
  <si>
    <t>CAVA PINKY S/ALCOHOL 75 CL (NIÑOS)</t>
  </si>
  <si>
    <t>CHAMPAN MOET &amp; CHANDON 75 CL</t>
  </si>
  <si>
    <t>CERVEZA BARRIL MAHOU CLASICA 30 LT</t>
  </si>
  <si>
    <t>CERVEZA SAN MIGUEL S/GLUTEN SR 33 CL</t>
  </si>
  <si>
    <t>CERVEZA SIN ALCOHOL S.M 0'0 33 CL</t>
  </si>
  <si>
    <t>REFRESCO BIB COCA COLA</t>
  </si>
  <si>
    <t>REFRESCO BIB COCA COLA ZERO</t>
  </si>
  <si>
    <t>REFRESCO BIB FANTA LIMON ZERO</t>
  </si>
  <si>
    <t>REFRESCO BIB FANTA NARANJA ZERO</t>
  </si>
  <si>
    <t>REFRESCO BIB SPRITE ZERO</t>
  </si>
  <si>
    <t>REFRESCO BIB FUZE TEA LIMON S/AZUCAR</t>
  </si>
  <si>
    <t>VINO BCO BARBADILLO MOSCATO FRIZZANTE 75 CL</t>
  </si>
  <si>
    <t>VINO BCO BICICLETAS Y PECES SAUVIGNON BLANC ECO 75 CL</t>
  </si>
  <si>
    <t>VINO BCO CARPATHIA 75 CL</t>
  </si>
  <si>
    <t>VINO BCO CASTILLO SAN DIEGO 75 CL</t>
  </si>
  <si>
    <t>VINO BCO CONDE CARALT SEMI 75 CL</t>
  </si>
  <si>
    <t>VINO BCO FILLABOA 75 CL</t>
  </si>
  <si>
    <t>VINO BCO GRAN FEUDO HOYA DE LOS LOBOS CHARDONNAY 75 CL</t>
  </si>
  <si>
    <t>VINO BCO IRACHE 75 CL</t>
  </si>
  <si>
    <t>VINO BCO JOSE PARIENTE VERDEJO 75 CL</t>
  </si>
  <si>
    <t>VINO BCO MARQUES DEL ATRIO 2 CEPAS 75 CL</t>
  </si>
  <si>
    <t>VINO BCO MONOPOLE 75 CL</t>
  </si>
  <si>
    <t>VINO BCO NIVARIUS N 75 CL</t>
  </si>
  <si>
    <t>VINO BCO NUBORI VERDEJO 75 CL</t>
  </si>
  <si>
    <t>VINO BCO RAMON BILBAO VERDEJO LIAS 75 CL</t>
  </si>
  <si>
    <t>VINO BCO RENE BARBIER MEDITERRANEAN 75 CL</t>
  </si>
  <si>
    <t>VINO BCO SECO PARAMUS 75 CL</t>
  </si>
  <si>
    <t>VINO BCO SEMI DULCE MAESTRANTE 75 CL</t>
  </si>
  <si>
    <t>VINO RDO AÑARES 75 CL</t>
  </si>
  <si>
    <t>VINO RDO BARBADILLO 75 CL</t>
  </si>
  <si>
    <t>VINO RDO BICICLETAS Y PECES 75 CL</t>
  </si>
  <si>
    <t>VINO RDO CARPATHIA 75 CL</t>
  </si>
  <si>
    <t>VINO RDO GRAN FEUDO 75 CL</t>
  </si>
  <si>
    <t>VINO RDO IRACHE 75 CL</t>
  </si>
  <si>
    <t>VINO RDO L'ESCARELLE PALMA ECOLOGICO 75 CL</t>
  </si>
  <si>
    <t>VINO RDO LAS FINCAS 75 CL</t>
  </si>
  <si>
    <t>VINO RDO PARAMUS 75 CL</t>
  </si>
  <si>
    <t>VINO RDO RAMON BILBAO 75 CL</t>
  </si>
  <si>
    <t>VINO TTO CARPATHIA 75 CL</t>
  </si>
  <si>
    <t>VINO TTO CELESTE ROBLE 75 CL</t>
  </si>
  <si>
    <t>VINO TTO DOMINIO BASCONCILLOS FINCA DE ALTURA 75 CL</t>
  </si>
  <si>
    <t>VINO TTO GRAN FEUDO HOYA DE LOS LOBOS CRI 75 CL</t>
  </si>
  <si>
    <t>VINO TTO HONORO VERA 75 CL</t>
  </si>
  <si>
    <t>VINO TTO IRACHE 75 CL</t>
  </si>
  <si>
    <t>VINO TTO MALPASTOR CRIANZA 75 CL</t>
  </si>
  <si>
    <t>VINO TTO MAS DE LEDA 75 CL</t>
  </si>
  <si>
    <t>VINO TTO MURUA RVA 75 CL</t>
  </si>
  <si>
    <t>VINO TTO NUBORI CRI TEMPRANILLO 75 CL</t>
  </si>
  <si>
    <t>VINO TTO ORUBE CRI 75 CL</t>
  </si>
  <si>
    <t>VINO TTO PARAMUS 75 CL</t>
  </si>
  <si>
    <t>VINO TTO PESQUERA CRI 75 CL</t>
  </si>
  <si>
    <t>VINO TTO QUADIS CRI 75 CL</t>
  </si>
  <si>
    <t>VINO TTO RAMON BILBAO VIÑEDOS DE ALTURA 75 CL</t>
  </si>
  <si>
    <t>VINO TTO RENE BARBIER MEDITERRANEAN 75 CL</t>
  </si>
  <si>
    <t>VINO TTO VALDUBON ROBLE 75 CL</t>
  </si>
  <si>
    <t>VINO TTO VIÑA MAGNA CRI 75 CL</t>
  </si>
  <si>
    <t>VINO TTO VIÑA SALCEDA CRI 75 CL</t>
  </si>
  <si>
    <t>BIB VINO BCO 12º</t>
  </si>
  <si>
    <t>BIB VINO TTO 12º</t>
  </si>
  <si>
    <t>ESTOCAJE  INICIAL</t>
  </si>
  <si>
    <t>COMEDOR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</si>
</sst>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sz val="10"/>
      <color theme="1"/>
      <name val="Calibri"/>
      <scheme val="minor"/>
    </font>
    <font>
      <sz val="11"/>
      <color rgb="FF000000"/>
      <name val="Calibri"/>
    </font>
    <font>
      <sz val="11"/>
      <name val="Calibri"/>
    </font>
    <font>
      <sz val="11"/>
      <color theme="1"/>
      <name val="Calibri"/>
      <scheme val="minor"/>
    </font>
    <font>
      <b/>
      <sz val="18"/>
      <color rgb="FF333399"/>
      <name val="Calibri"/>
    </font>
    <font>
      <b/>
      <sz val="11"/>
      <color theme="1"/>
      <name val="Arial Black"/>
    </font>
    <font>
      <b/>
      <sz val="7"/>
      <color theme="1"/>
      <name val="Arial Black"/>
    </font>
    <font>
      <b/>
      <sz val="8"/>
      <color theme="1"/>
      <name val="Arial Black"/>
    </font>
    <font>
      <sz val="11"/>
      <color theme="1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sz val="10"/>
      <color theme="1"/>
      <name val="Calibri"/>
    </font>
    <font>
      <b/>
      <sz val="11"/>
      <color theme="1"/>
      <name val="Calibri"/>
    </font>
    <font>
      <sz val="7"/>
      <color theme="1"/>
      <name val="Calibri"/>
    </font>
    <font>
      <sz val="11"/>
      <color rgb="FF000000"/>
      <name val="Calibri"/>
      <family val="2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FE599"/>
      </patternFill>
    </fill>
  </fills>
  <borders count="1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4" fontId="10" fillId="5" borderId="7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4" fontId="9" fillId="0" borderId="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4" fontId="2" fillId="9" borderId="0" xfId="0" applyNumberFormat="1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2" fontId="13" fillId="7" borderId="3" xfId="0" applyNumberFormat="1" applyFont="1" applyFill="1" applyBorder="1" applyAlignment="1">
      <alignment horizontal="center" vertical="center"/>
    </xf>
    <xf numFmtId="2" fontId="9" fillId="8" borderId="0" xfId="0" applyNumberFormat="1" applyFont="1" applyFill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2" fontId="6" fillId="2" borderId="10" xfId="0" applyNumberFormat="1" applyFont="1" applyFill="1" applyBorder="1" applyAlignment="1">
      <alignment horizontal="center" vertical="center"/>
    </xf>
    <xf numFmtId="2" fontId="6" fillId="2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129540</xdr:colOff>
      <xdr:row>0</xdr:row>
      <xdr:rowOff>0</xdr:rowOff>
    </xdr:from>
    <xdr:ext cx="510540" cy="541020"/>
    <xdr:pic>
      <xdr:nvPicPr>
        <xdr:cNvPr id="3" name="image1.png">
          <a:extLst>
            <a:ext uri="{FF2B5EF4-FFF2-40B4-BE49-F238E27FC236}">
              <a16:creationId xmlns:a16="http://schemas.microsoft.com/office/drawing/2014/main" id="{3221D2CE-1F2D-4172-BCC6-5FAD2971160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9540" y="0"/>
          <a:ext cx="510540" cy="54102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abSelected="1" zoomScale="70" zoomScaleNormal="70" workbookViewId="0">
      <selection activeCell="E10" sqref="E10"/>
    </sheetView>
  </sheetViews>
  <sheetFormatPr baseColWidth="10" defaultColWidth="14.44140625" defaultRowHeight="25.05" customHeight="1" x14ac:dyDescent="0.3"/>
  <cols>
    <col min="1" max="1" width="10.77734375" style="1" customWidth="1"/>
    <col min="2" max="2" width="60.77734375" style="1" customWidth="1"/>
    <col min="3" max="6" width="15.77734375" style="1" customWidth="1"/>
    <col min="7" max="37" width="5.77734375" style="1" customWidth="1"/>
    <col min="38" max="38" width="25.77734375" style="1" customWidth="1"/>
    <col min="39" max="39" width="40.77734375" style="1" customWidth="1"/>
    <col min="40" max="40" width="15.77734375" style="1" customWidth="1"/>
    <col min="41" max="16384" width="14.44140625" style="1"/>
  </cols>
  <sheetData>
    <row r="1" spans="1:40" ht="25.05" customHeight="1" x14ac:dyDescent="0.3">
      <c r="E1" s="4"/>
      <c r="F1" s="4"/>
    </row>
    <row r="2" spans="1:40" ht="25.05" customHeight="1" x14ac:dyDescent="0.3">
      <c r="E2" s="4"/>
      <c r="F2" s="4"/>
    </row>
    <row r="3" spans="1:40" ht="25.05" customHeight="1" x14ac:dyDescent="0.3">
      <c r="E3" s="4"/>
      <c r="F3" s="4"/>
    </row>
    <row r="4" spans="1:40" ht="25.05" customHeight="1" x14ac:dyDescent="0.3">
      <c r="B4" s="21" t="s">
        <v>93</v>
      </c>
      <c r="E4" s="4"/>
      <c r="F4" s="4"/>
      <c r="H4" s="14"/>
    </row>
    <row r="5" spans="1:40" ht="25.05" customHeight="1" x14ac:dyDescent="0.3">
      <c r="E5" s="4"/>
      <c r="F5" s="4"/>
      <c r="G5" s="15" t="s">
        <v>0</v>
      </c>
      <c r="H5" s="15" t="s">
        <v>1</v>
      </c>
      <c r="I5" s="15" t="s">
        <v>2</v>
      </c>
      <c r="J5" s="16" t="s">
        <v>3</v>
      </c>
      <c r="K5" s="16" t="s">
        <v>4</v>
      </c>
      <c r="L5" s="17" t="s">
        <v>5</v>
      </c>
      <c r="M5" s="15" t="s">
        <v>6</v>
      </c>
      <c r="N5" s="15" t="s">
        <v>0</v>
      </c>
      <c r="O5" s="15" t="s">
        <v>1</v>
      </c>
      <c r="P5" s="15" t="s">
        <v>2</v>
      </c>
      <c r="Q5" s="16" t="s">
        <v>3</v>
      </c>
      <c r="R5" s="16" t="s">
        <v>4</v>
      </c>
      <c r="S5" s="17" t="s">
        <v>5</v>
      </c>
      <c r="T5" s="15" t="s">
        <v>6</v>
      </c>
      <c r="U5" s="15" t="s">
        <v>0</v>
      </c>
      <c r="V5" s="15" t="s">
        <v>1</v>
      </c>
      <c r="W5" s="15" t="s">
        <v>2</v>
      </c>
      <c r="X5" s="16" t="s">
        <v>3</v>
      </c>
      <c r="Y5" s="16" t="s">
        <v>4</v>
      </c>
      <c r="Z5" s="17" t="s">
        <v>5</v>
      </c>
      <c r="AA5" s="15" t="s">
        <v>6</v>
      </c>
      <c r="AB5" s="15" t="s">
        <v>0</v>
      </c>
      <c r="AC5" s="15" t="s">
        <v>1</v>
      </c>
      <c r="AD5" s="15" t="s">
        <v>2</v>
      </c>
      <c r="AE5" s="16" t="s">
        <v>3</v>
      </c>
      <c r="AF5" s="16" t="s">
        <v>4</v>
      </c>
      <c r="AG5" s="17" t="s">
        <v>5</v>
      </c>
      <c r="AH5" s="15" t="s">
        <v>6</v>
      </c>
      <c r="AI5" s="15" t="s">
        <v>0</v>
      </c>
      <c r="AJ5" s="15" t="s">
        <v>1</v>
      </c>
      <c r="AK5" s="18" t="s">
        <v>2</v>
      </c>
      <c r="AL5" s="26" t="s">
        <v>7</v>
      </c>
      <c r="AM5" s="28" t="s">
        <v>8</v>
      </c>
      <c r="AN5" s="30" t="s">
        <v>15</v>
      </c>
    </row>
    <row r="6" spans="1:40" ht="25.05" customHeight="1" x14ac:dyDescent="0.3">
      <c r="A6" s="13" t="s">
        <v>9</v>
      </c>
      <c r="B6" s="13" t="s">
        <v>10</v>
      </c>
      <c r="C6" s="2" t="s">
        <v>11</v>
      </c>
      <c r="D6" s="5" t="s">
        <v>12</v>
      </c>
      <c r="E6" s="6" t="s">
        <v>13</v>
      </c>
      <c r="F6" s="6" t="s">
        <v>14</v>
      </c>
      <c r="G6" s="15">
        <v>1</v>
      </c>
      <c r="H6" s="15">
        <v>2</v>
      </c>
      <c r="I6" s="15">
        <v>3</v>
      </c>
      <c r="J6" s="16">
        <v>4</v>
      </c>
      <c r="K6" s="16">
        <v>5</v>
      </c>
      <c r="L6" s="15">
        <v>6</v>
      </c>
      <c r="M6" s="15">
        <v>7</v>
      </c>
      <c r="N6" s="15">
        <v>8</v>
      </c>
      <c r="O6" s="15">
        <v>9</v>
      </c>
      <c r="P6" s="15">
        <v>10</v>
      </c>
      <c r="Q6" s="16">
        <v>11</v>
      </c>
      <c r="R6" s="16">
        <v>12</v>
      </c>
      <c r="S6" s="15">
        <v>13</v>
      </c>
      <c r="T6" s="15">
        <v>14</v>
      </c>
      <c r="U6" s="15">
        <v>15</v>
      </c>
      <c r="V6" s="15">
        <v>16</v>
      </c>
      <c r="W6" s="15">
        <v>17</v>
      </c>
      <c r="X6" s="16">
        <v>18</v>
      </c>
      <c r="Y6" s="16">
        <v>19</v>
      </c>
      <c r="Z6" s="15">
        <v>20</v>
      </c>
      <c r="AA6" s="15">
        <v>21</v>
      </c>
      <c r="AB6" s="15">
        <v>22</v>
      </c>
      <c r="AC6" s="15">
        <v>23</v>
      </c>
      <c r="AD6" s="15">
        <v>24</v>
      </c>
      <c r="AE6" s="16">
        <v>25</v>
      </c>
      <c r="AF6" s="16">
        <v>26</v>
      </c>
      <c r="AG6" s="15">
        <v>27</v>
      </c>
      <c r="AH6" s="15">
        <v>28</v>
      </c>
      <c r="AI6" s="15">
        <v>29</v>
      </c>
      <c r="AJ6" s="15">
        <v>30</v>
      </c>
      <c r="AK6" s="18">
        <v>31</v>
      </c>
      <c r="AL6" s="27"/>
      <c r="AM6" s="29"/>
      <c r="AN6" s="31"/>
    </row>
    <row r="7" spans="1:40" ht="25.05" customHeight="1" x14ac:dyDescent="0.3">
      <c r="A7" s="12">
        <v>30756</v>
      </c>
      <c r="B7" s="12" t="s">
        <v>16</v>
      </c>
      <c r="C7" s="3">
        <v>0</v>
      </c>
      <c r="D7" s="7" t="s">
        <v>17</v>
      </c>
      <c r="E7" s="8">
        <v>1.0370000000000001E-2</v>
      </c>
      <c r="F7" s="20">
        <f t="shared" ref="F7:F79" si="0">C7*E7</f>
        <v>0</v>
      </c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22">
        <f t="shared" ref="AL7:AL79" si="1">SUM(G7:AK7)</f>
        <v>0</v>
      </c>
      <c r="AM7" s="23">
        <f t="shared" ref="AM7:AM79" si="2">SUM(C7,AL7)</f>
        <v>0</v>
      </c>
      <c r="AN7" s="24">
        <f t="shared" ref="AN7:AN79" si="3">E7*AM7</f>
        <v>0</v>
      </c>
    </row>
    <row r="8" spans="1:40" ht="25.05" customHeight="1" x14ac:dyDescent="0.3">
      <c r="A8" s="12">
        <v>14279</v>
      </c>
      <c r="B8" s="12" t="s">
        <v>18</v>
      </c>
      <c r="C8" s="3">
        <v>0</v>
      </c>
      <c r="D8" s="7" t="s">
        <v>17</v>
      </c>
      <c r="E8" s="8">
        <v>1.15E-2</v>
      </c>
      <c r="F8" s="20">
        <f t="shared" si="0"/>
        <v>0</v>
      </c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22">
        <f t="shared" si="1"/>
        <v>0</v>
      </c>
      <c r="AM8" s="23">
        <f t="shared" si="2"/>
        <v>0</v>
      </c>
      <c r="AN8" s="24">
        <f t="shared" si="3"/>
        <v>0</v>
      </c>
    </row>
    <row r="9" spans="1:40" ht="25.05" customHeight="1" x14ac:dyDescent="0.3">
      <c r="A9" s="12">
        <v>24274</v>
      </c>
      <c r="B9" s="12" t="s">
        <v>19</v>
      </c>
      <c r="C9" s="3">
        <v>0</v>
      </c>
      <c r="D9" s="7" t="s">
        <v>17</v>
      </c>
      <c r="E9" s="8">
        <v>1.371</v>
      </c>
      <c r="F9" s="20">
        <f t="shared" si="0"/>
        <v>0</v>
      </c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22">
        <f t="shared" si="1"/>
        <v>0</v>
      </c>
      <c r="AM9" s="23">
        <f t="shared" si="2"/>
        <v>0</v>
      </c>
      <c r="AN9" s="24">
        <f t="shared" si="3"/>
        <v>0</v>
      </c>
    </row>
    <row r="10" spans="1:40" ht="25.05" customHeight="1" x14ac:dyDescent="0.3">
      <c r="A10" s="12">
        <v>21900</v>
      </c>
      <c r="B10" s="12" t="s">
        <v>20</v>
      </c>
      <c r="C10" s="3">
        <v>0</v>
      </c>
      <c r="D10" s="7" t="s">
        <v>21</v>
      </c>
      <c r="E10" s="8">
        <v>1.391</v>
      </c>
      <c r="F10" s="20">
        <f t="shared" si="0"/>
        <v>0</v>
      </c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22">
        <f t="shared" si="1"/>
        <v>0</v>
      </c>
      <c r="AM10" s="23">
        <f t="shared" si="2"/>
        <v>0</v>
      </c>
      <c r="AN10" s="24">
        <f t="shared" si="3"/>
        <v>0</v>
      </c>
    </row>
    <row r="11" spans="1:40" ht="25.05" customHeight="1" x14ac:dyDescent="0.3">
      <c r="A11" s="12">
        <v>2132</v>
      </c>
      <c r="B11" s="12" t="s">
        <v>22</v>
      </c>
      <c r="C11" s="3">
        <v>0</v>
      </c>
      <c r="D11" s="7" t="s">
        <v>23</v>
      </c>
      <c r="E11" s="8">
        <v>4.5387000000000004</v>
      </c>
      <c r="F11" s="20">
        <f t="shared" si="0"/>
        <v>0</v>
      </c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22">
        <f t="shared" si="1"/>
        <v>0</v>
      </c>
      <c r="AM11" s="23">
        <f t="shared" si="2"/>
        <v>0</v>
      </c>
      <c r="AN11" s="24">
        <f t="shared" si="3"/>
        <v>0</v>
      </c>
    </row>
    <row r="12" spans="1:40" ht="25.05" customHeight="1" x14ac:dyDescent="0.3">
      <c r="A12" s="12">
        <v>2134</v>
      </c>
      <c r="B12" s="12" t="s">
        <v>24</v>
      </c>
      <c r="C12" s="3">
        <v>0</v>
      </c>
      <c r="D12" s="7" t="s">
        <v>21</v>
      </c>
      <c r="E12" s="8">
        <v>2.933017</v>
      </c>
      <c r="F12" s="20">
        <f t="shared" si="0"/>
        <v>0</v>
      </c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22">
        <f t="shared" si="1"/>
        <v>0</v>
      </c>
      <c r="AM12" s="23">
        <f t="shared" si="2"/>
        <v>0</v>
      </c>
      <c r="AN12" s="24">
        <f t="shared" si="3"/>
        <v>0</v>
      </c>
    </row>
    <row r="13" spans="1:40" ht="25.05" customHeight="1" x14ac:dyDescent="0.3">
      <c r="A13" s="12">
        <v>4989</v>
      </c>
      <c r="B13" s="12" t="s">
        <v>25</v>
      </c>
      <c r="C13" s="3">
        <v>0</v>
      </c>
      <c r="D13" s="7" t="s">
        <v>23</v>
      </c>
      <c r="E13" s="8">
        <v>4.7198609999999999</v>
      </c>
      <c r="F13" s="20">
        <f t="shared" si="0"/>
        <v>0</v>
      </c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2">
        <f t="shared" si="1"/>
        <v>0</v>
      </c>
      <c r="AM13" s="23">
        <f t="shared" si="2"/>
        <v>0</v>
      </c>
      <c r="AN13" s="24">
        <f t="shared" si="3"/>
        <v>0</v>
      </c>
    </row>
    <row r="14" spans="1:40" ht="25.05" customHeight="1" x14ac:dyDescent="0.3">
      <c r="A14" s="12">
        <v>7461</v>
      </c>
      <c r="B14" s="12" t="s">
        <v>26</v>
      </c>
      <c r="C14" s="3">
        <v>0</v>
      </c>
      <c r="D14" s="7" t="s">
        <v>21</v>
      </c>
      <c r="E14" s="8">
        <v>2.9988389999999998</v>
      </c>
      <c r="F14" s="20">
        <f t="shared" si="0"/>
        <v>0</v>
      </c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2">
        <f t="shared" si="1"/>
        <v>0</v>
      </c>
      <c r="AM14" s="23">
        <f t="shared" si="2"/>
        <v>0</v>
      </c>
      <c r="AN14" s="24">
        <f t="shared" si="3"/>
        <v>0</v>
      </c>
    </row>
    <row r="15" spans="1:40" ht="25.05" customHeight="1" x14ac:dyDescent="0.3">
      <c r="A15" s="12">
        <v>21629</v>
      </c>
      <c r="B15" s="12" t="s">
        <v>27</v>
      </c>
      <c r="C15" s="3">
        <v>0</v>
      </c>
      <c r="D15" s="7" t="s">
        <v>17</v>
      </c>
      <c r="E15" s="8">
        <v>0.258432</v>
      </c>
      <c r="F15" s="20">
        <f t="shared" si="0"/>
        <v>0</v>
      </c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2">
        <f t="shared" si="1"/>
        <v>0</v>
      </c>
      <c r="AM15" s="23">
        <f t="shared" si="2"/>
        <v>0</v>
      </c>
      <c r="AN15" s="24">
        <f t="shared" si="3"/>
        <v>0</v>
      </c>
    </row>
    <row r="16" spans="1:40" ht="25.05" customHeight="1" x14ac:dyDescent="0.3">
      <c r="A16" s="12">
        <v>21628</v>
      </c>
      <c r="B16" s="12" t="s">
        <v>28</v>
      </c>
      <c r="C16" s="3">
        <v>0</v>
      </c>
      <c r="D16" s="7" t="s">
        <v>17</v>
      </c>
      <c r="E16" s="8">
        <v>0.25902500000000001</v>
      </c>
      <c r="F16" s="20">
        <f t="shared" si="0"/>
        <v>0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22">
        <f t="shared" si="1"/>
        <v>0</v>
      </c>
      <c r="AM16" s="23">
        <f t="shared" si="2"/>
        <v>0</v>
      </c>
      <c r="AN16" s="24">
        <f t="shared" si="3"/>
        <v>0</v>
      </c>
    </row>
    <row r="17" spans="1:40" ht="25.05" customHeight="1" x14ac:dyDescent="0.3">
      <c r="A17" s="12">
        <v>8983</v>
      </c>
      <c r="B17" s="12" t="s">
        <v>29</v>
      </c>
      <c r="C17" s="3">
        <v>0</v>
      </c>
      <c r="D17" s="7" t="s">
        <v>21</v>
      </c>
      <c r="E17" s="8">
        <v>1.8999950000000001</v>
      </c>
      <c r="F17" s="20">
        <f t="shared" si="0"/>
        <v>0</v>
      </c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22">
        <f t="shared" si="1"/>
        <v>0</v>
      </c>
      <c r="AM17" s="23">
        <f t="shared" si="2"/>
        <v>0</v>
      </c>
      <c r="AN17" s="24">
        <f t="shared" si="3"/>
        <v>0</v>
      </c>
    </row>
    <row r="18" spans="1:40" ht="25.05" customHeight="1" x14ac:dyDescent="0.3">
      <c r="A18" s="12">
        <v>8982</v>
      </c>
      <c r="B18" s="12" t="s">
        <v>30</v>
      </c>
      <c r="C18" s="3">
        <v>0</v>
      </c>
      <c r="D18" s="7" t="s">
        <v>21</v>
      </c>
      <c r="E18" s="8">
        <v>1.871467</v>
      </c>
      <c r="F18" s="20">
        <f t="shared" si="0"/>
        <v>0</v>
      </c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2">
        <f t="shared" si="1"/>
        <v>0</v>
      </c>
      <c r="AM18" s="23">
        <f t="shared" si="2"/>
        <v>0</v>
      </c>
      <c r="AN18" s="24">
        <f t="shared" si="3"/>
        <v>0</v>
      </c>
    </row>
    <row r="19" spans="1:40" ht="25.05" customHeight="1" x14ac:dyDescent="0.3">
      <c r="A19" s="12">
        <v>11946</v>
      </c>
      <c r="B19" s="12" t="s">
        <v>31</v>
      </c>
      <c r="C19" s="3">
        <v>0</v>
      </c>
      <c r="D19" s="7" t="s">
        <v>21</v>
      </c>
      <c r="E19" s="8">
        <v>5.5413009999999998</v>
      </c>
      <c r="F19" s="20">
        <f t="shared" si="0"/>
        <v>0</v>
      </c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2">
        <f t="shared" si="1"/>
        <v>0</v>
      </c>
      <c r="AM19" s="23">
        <f t="shared" si="2"/>
        <v>0</v>
      </c>
      <c r="AN19" s="24">
        <f t="shared" si="3"/>
        <v>0</v>
      </c>
    </row>
    <row r="20" spans="1:40" ht="25.05" customHeight="1" x14ac:dyDescent="0.3">
      <c r="A20" s="12">
        <v>11986</v>
      </c>
      <c r="B20" s="12" t="s">
        <v>32</v>
      </c>
      <c r="C20" s="3">
        <v>0</v>
      </c>
      <c r="D20" s="7" t="s">
        <v>21</v>
      </c>
      <c r="E20" s="8">
        <v>5.5494570000000003</v>
      </c>
      <c r="F20" s="20">
        <f t="shared" si="0"/>
        <v>0</v>
      </c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2">
        <f t="shared" si="1"/>
        <v>0</v>
      </c>
      <c r="AM20" s="23">
        <f t="shared" si="2"/>
        <v>0</v>
      </c>
      <c r="AN20" s="24">
        <f t="shared" si="3"/>
        <v>0</v>
      </c>
    </row>
    <row r="21" spans="1:40" ht="25.05" customHeight="1" x14ac:dyDescent="0.3">
      <c r="A21" s="12">
        <v>10121</v>
      </c>
      <c r="B21" s="12" t="s">
        <v>33</v>
      </c>
      <c r="C21" s="3">
        <v>0</v>
      </c>
      <c r="D21" s="7" t="s">
        <v>21</v>
      </c>
      <c r="E21" s="8">
        <v>4.2795329999999998</v>
      </c>
      <c r="F21" s="20">
        <f t="shared" si="0"/>
        <v>0</v>
      </c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22">
        <f t="shared" si="1"/>
        <v>0</v>
      </c>
      <c r="AM21" s="23">
        <f t="shared" si="2"/>
        <v>0</v>
      </c>
      <c r="AN21" s="24">
        <f t="shared" si="3"/>
        <v>0</v>
      </c>
    </row>
    <row r="22" spans="1:40" ht="25.05" customHeight="1" x14ac:dyDescent="0.3">
      <c r="A22" s="12">
        <v>97</v>
      </c>
      <c r="B22" s="12" t="s">
        <v>34</v>
      </c>
      <c r="C22" s="3">
        <v>0</v>
      </c>
      <c r="D22" s="7" t="s">
        <v>21</v>
      </c>
      <c r="E22" s="8">
        <v>34.5</v>
      </c>
      <c r="F22" s="20">
        <f t="shared" si="0"/>
        <v>0</v>
      </c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22">
        <f t="shared" si="1"/>
        <v>0</v>
      </c>
      <c r="AM22" s="23">
        <f t="shared" si="2"/>
        <v>0</v>
      </c>
      <c r="AN22" s="24">
        <f t="shared" si="3"/>
        <v>0</v>
      </c>
    </row>
    <row r="23" spans="1:40" ht="25.05" customHeight="1" x14ac:dyDescent="0.3">
      <c r="A23" s="12">
        <v>8992</v>
      </c>
      <c r="B23" s="12" t="s">
        <v>35</v>
      </c>
      <c r="C23" s="3">
        <v>0</v>
      </c>
      <c r="D23" s="7" t="s">
        <v>23</v>
      </c>
      <c r="E23" s="8">
        <v>0.50231700000000001</v>
      </c>
      <c r="F23" s="20">
        <f t="shared" si="0"/>
        <v>0</v>
      </c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22">
        <f t="shared" si="1"/>
        <v>0</v>
      </c>
      <c r="AM23" s="23">
        <f t="shared" si="2"/>
        <v>0</v>
      </c>
      <c r="AN23" s="24">
        <f t="shared" si="3"/>
        <v>0</v>
      </c>
    </row>
    <row r="24" spans="1:40" ht="25.05" customHeight="1" x14ac:dyDescent="0.3">
      <c r="A24" s="12">
        <v>17627</v>
      </c>
      <c r="B24" s="12" t="s">
        <v>36</v>
      </c>
      <c r="C24" s="3">
        <v>0</v>
      </c>
      <c r="D24" s="7" t="s">
        <v>21</v>
      </c>
      <c r="E24" s="8">
        <v>0.75498399999999999</v>
      </c>
      <c r="F24" s="20">
        <f t="shared" si="0"/>
        <v>0</v>
      </c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22">
        <f t="shared" si="1"/>
        <v>0</v>
      </c>
      <c r="AM24" s="23">
        <f t="shared" si="2"/>
        <v>0</v>
      </c>
      <c r="AN24" s="24">
        <f t="shared" si="3"/>
        <v>0</v>
      </c>
    </row>
    <row r="25" spans="1:40" ht="25.05" customHeight="1" x14ac:dyDescent="0.3">
      <c r="A25" s="12">
        <v>5796</v>
      </c>
      <c r="B25" s="12" t="s">
        <v>37</v>
      </c>
      <c r="C25" s="3">
        <v>0</v>
      </c>
      <c r="D25" s="7" t="s">
        <v>21</v>
      </c>
      <c r="E25" s="8">
        <v>0.32708599999999999</v>
      </c>
      <c r="F25" s="20">
        <f t="shared" si="0"/>
        <v>0</v>
      </c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22">
        <f t="shared" si="1"/>
        <v>0</v>
      </c>
      <c r="AM25" s="23">
        <f t="shared" si="2"/>
        <v>0</v>
      </c>
      <c r="AN25" s="24">
        <f t="shared" si="3"/>
        <v>0</v>
      </c>
    </row>
    <row r="26" spans="1:40" ht="25.05" customHeight="1" x14ac:dyDescent="0.3">
      <c r="A26" s="12">
        <v>173</v>
      </c>
      <c r="B26" s="12" t="s">
        <v>38</v>
      </c>
      <c r="C26" s="3">
        <v>0</v>
      </c>
      <c r="D26" s="7" t="s">
        <v>23</v>
      </c>
      <c r="E26" s="8">
        <v>7.0211129999999997</v>
      </c>
      <c r="F26" s="20">
        <f t="shared" si="0"/>
        <v>0</v>
      </c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22">
        <f t="shared" si="1"/>
        <v>0</v>
      </c>
      <c r="AM26" s="23">
        <f t="shared" si="2"/>
        <v>0</v>
      </c>
      <c r="AN26" s="24">
        <f t="shared" si="3"/>
        <v>0</v>
      </c>
    </row>
    <row r="27" spans="1:40" ht="25.05" customHeight="1" x14ac:dyDescent="0.3">
      <c r="A27" s="12">
        <v>9155</v>
      </c>
      <c r="B27" s="12" t="s">
        <v>39</v>
      </c>
      <c r="C27" s="3">
        <v>0</v>
      </c>
      <c r="D27" s="7" t="s">
        <v>23</v>
      </c>
      <c r="E27" s="8">
        <v>7.0177269999999998</v>
      </c>
      <c r="F27" s="20">
        <f t="shared" si="0"/>
        <v>0</v>
      </c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22">
        <f t="shared" si="1"/>
        <v>0</v>
      </c>
      <c r="AM27" s="23">
        <f t="shared" si="2"/>
        <v>0</v>
      </c>
      <c r="AN27" s="24">
        <f t="shared" si="3"/>
        <v>0</v>
      </c>
    </row>
    <row r="28" spans="1:40" ht="25.05" customHeight="1" x14ac:dyDescent="0.3">
      <c r="A28" s="12">
        <v>21366</v>
      </c>
      <c r="B28" s="12" t="s">
        <v>40</v>
      </c>
      <c r="C28" s="3">
        <v>0</v>
      </c>
      <c r="D28" s="7" t="s">
        <v>23</v>
      </c>
      <c r="E28" s="8">
        <v>5.9713630000000002</v>
      </c>
      <c r="F28" s="20">
        <f t="shared" si="0"/>
        <v>0</v>
      </c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22">
        <f t="shared" si="1"/>
        <v>0</v>
      </c>
      <c r="AM28" s="23">
        <f t="shared" si="2"/>
        <v>0</v>
      </c>
      <c r="AN28" s="24">
        <f t="shared" si="3"/>
        <v>0</v>
      </c>
    </row>
    <row r="29" spans="1:40" ht="25.05" customHeight="1" x14ac:dyDescent="0.3">
      <c r="A29" s="12">
        <v>21367</v>
      </c>
      <c r="B29" s="12" t="s">
        <v>41</v>
      </c>
      <c r="C29" s="3">
        <v>0</v>
      </c>
      <c r="D29" s="7" t="s">
        <v>23</v>
      </c>
      <c r="E29" s="8">
        <v>5.9700819999999997</v>
      </c>
      <c r="F29" s="20">
        <f t="shared" si="0"/>
        <v>0</v>
      </c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22">
        <f t="shared" si="1"/>
        <v>0</v>
      </c>
      <c r="AM29" s="23">
        <f t="shared" si="2"/>
        <v>0</v>
      </c>
      <c r="AN29" s="24">
        <f t="shared" si="3"/>
        <v>0</v>
      </c>
    </row>
    <row r="30" spans="1:40" ht="25.05" customHeight="1" x14ac:dyDescent="0.3">
      <c r="A30" s="12">
        <v>26662</v>
      </c>
      <c r="B30" s="12" t="s">
        <v>42</v>
      </c>
      <c r="C30" s="3">
        <v>0</v>
      </c>
      <c r="D30" s="7" t="s">
        <v>23</v>
      </c>
      <c r="E30" s="8">
        <v>7.0648390000000001</v>
      </c>
      <c r="F30" s="20">
        <f t="shared" si="0"/>
        <v>0</v>
      </c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2">
        <f t="shared" si="1"/>
        <v>0</v>
      </c>
      <c r="AM30" s="23">
        <f t="shared" si="2"/>
        <v>0</v>
      </c>
      <c r="AN30" s="24">
        <f t="shared" si="3"/>
        <v>0</v>
      </c>
    </row>
    <row r="31" spans="1:40" ht="25.05" customHeight="1" x14ac:dyDescent="0.3">
      <c r="A31" s="12">
        <v>27731</v>
      </c>
      <c r="B31" s="12" t="s">
        <v>43</v>
      </c>
      <c r="C31" s="3">
        <v>0</v>
      </c>
      <c r="D31" s="7" t="s">
        <v>23</v>
      </c>
      <c r="E31" s="8">
        <v>9.0108470000000001</v>
      </c>
      <c r="F31" s="20">
        <f t="shared" si="0"/>
        <v>0</v>
      </c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2">
        <f t="shared" si="1"/>
        <v>0</v>
      </c>
      <c r="AM31" s="23">
        <f t="shared" si="2"/>
        <v>0</v>
      </c>
      <c r="AN31" s="24">
        <f t="shared" si="3"/>
        <v>0</v>
      </c>
    </row>
    <row r="32" spans="1:40" ht="25.05" customHeight="1" x14ac:dyDescent="0.3">
      <c r="A32" s="12">
        <v>24707</v>
      </c>
      <c r="B32" s="12" t="s">
        <v>44</v>
      </c>
      <c r="C32" s="3">
        <v>0</v>
      </c>
      <c r="D32" s="7" t="s">
        <v>21</v>
      </c>
      <c r="E32" s="8">
        <v>4.7378020000000003</v>
      </c>
      <c r="F32" s="20">
        <f t="shared" si="0"/>
        <v>0</v>
      </c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2">
        <f t="shared" si="1"/>
        <v>0</v>
      </c>
      <c r="AM32" s="23">
        <f t="shared" si="2"/>
        <v>0</v>
      </c>
      <c r="AN32" s="24">
        <f t="shared" si="3"/>
        <v>0</v>
      </c>
    </row>
    <row r="33" spans="1:40" ht="25.05" customHeight="1" x14ac:dyDescent="0.3">
      <c r="A33" s="12">
        <v>24622</v>
      </c>
      <c r="B33" s="12" t="s">
        <v>45</v>
      </c>
      <c r="C33" s="3">
        <v>0</v>
      </c>
      <c r="D33" s="7" t="s">
        <v>21</v>
      </c>
      <c r="E33" s="8">
        <v>4.8899999999999997</v>
      </c>
      <c r="F33" s="20">
        <f t="shared" si="0"/>
        <v>0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2">
        <f t="shared" si="1"/>
        <v>0</v>
      </c>
      <c r="AM33" s="23">
        <f t="shared" si="2"/>
        <v>0</v>
      </c>
      <c r="AN33" s="24">
        <f t="shared" si="3"/>
        <v>0</v>
      </c>
    </row>
    <row r="34" spans="1:40" ht="25.05" customHeight="1" x14ac:dyDescent="0.3">
      <c r="A34" s="12">
        <v>15593</v>
      </c>
      <c r="B34" s="12" t="s">
        <v>46</v>
      </c>
      <c r="C34" s="3">
        <v>0</v>
      </c>
      <c r="D34" s="7" t="s">
        <v>21</v>
      </c>
      <c r="E34" s="8">
        <v>2.0539999999999998</v>
      </c>
      <c r="F34" s="20">
        <f t="shared" si="0"/>
        <v>0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2">
        <f t="shared" si="1"/>
        <v>0</v>
      </c>
      <c r="AM34" s="23">
        <f t="shared" si="2"/>
        <v>0</v>
      </c>
      <c r="AN34" s="24">
        <f t="shared" si="3"/>
        <v>0</v>
      </c>
    </row>
    <row r="35" spans="1:40" ht="25.05" customHeight="1" x14ac:dyDescent="0.3">
      <c r="A35" s="12">
        <v>1225</v>
      </c>
      <c r="B35" s="12" t="s">
        <v>47</v>
      </c>
      <c r="C35" s="3">
        <v>0</v>
      </c>
      <c r="D35" s="7" t="s">
        <v>21</v>
      </c>
      <c r="E35" s="8">
        <v>2.8119990000000001</v>
      </c>
      <c r="F35" s="20">
        <f t="shared" si="0"/>
        <v>0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22">
        <f t="shared" si="1"/>
        <v>0</v>
      </c>
      <c r="AM35" s="23">
        <f t="shared" si="2"/>
        <v>0</v>
      </c>
      <c r="AN35" s="24">
        <f t="shared" si="3"/>
        <v>0</v>
      </c>
    </row>
    <row r="36" spans="1:40" ht="25.05" customHeight="1" x14ac:dyDescent="0.3">
      <c r="A36" s="12">
        <v>154</v>
      </c>
      <c r="B36" s="12" t="s">
        <v>48</v>
      </c>
      <c r="C36" s="3">
        <v>0</v>
      </c>
      <c r="D36" s="7" t="s">
        <v>21</v>
      </c>
      <c r="E36" s="8">
        <v>2.1573980000000001</v>
      </c>
      <c r="F36" s="20">
        <f t="shared" si="0"/>
        <v>0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22">
        <f t="shared" si="1"/>
        <v>0</v>
      </c>
      <c r="AM36" s="23">
        <f t="shared" si="2"/>
        <v>0</v>
      </c>
      <c r="AN36" s="24">
        <f t="shared" si="3"/>
        <v>0</v>
      </c>
    </row>
    <row r="37" spans="1:40" ht="25.05" customHeight="1" x14ac:dyDescent="0.3">
      <c r="A37" s="12">
        <v>16134</v>
      </c>
      <c r="B37" s="12" t="s">
        <v>49</v>
      </c>
      <c r="C37" s="3">
        <v>0</v>
      </c>
      <c r="D37" s="7" t="s">
        <v>21</v>
      </c>
      <c r="E37" s="8">
        <v>7.14</v>
      </c>
      <c r="F37" s="20">
        <f t="shared" si="0"/>
        <v>0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2">
        <f t="shared" si="1"/>
        <v>0</v>
      </c>
      <c r="AM37" s="23">
        <f t="shared" si="2"/>
        <v>0</v>
      </c>
      <c r="AN37" s="24">
        <f t="shared" si="3"/>
        <v>0</v>
      </c>
    </row>
    <row r="38" spans="1:40" ht="25.05" customHeight="1" x14ac:dyDescent="0.3">
      <c r="A38" s="12">
        <v>4278</v>
      </c>
      <c r="B38" s="12" t="s">
        <v>50</v>
      </c>
      <c r="C38" s="3">
        <v>0</v>
      </c>
      <c r="D38" s="7" t="s">
        <v>21</v>
      </c>
      <c r="E38" s="8">
        <v>4.3429979999999997</v>
      </c>
      <c r="F38" s="20">
        <f t="shared" si="0"/>
        <v>0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22">
        <f t="shared" si="1"/>
        <v>0</v>
      </c>
      <c r="AM38" s="23">
        <f t="shared" si="2"/>
        <v>0</v>
      </c>
      <c r="AN38" s="24">
        <f t="shared" si="3"/>
        <v>0</v>
      </c>
    </row>
    <row r="39" spans="1:40" ht="25.05" customHeight="1" x14ac:dyDescent="0.3">
      <c r="A39" s="12">
        <v>3107</v>
      </c>
      <c r="B39" s="12" t="s">
        <v>51</v>
      </c>
      <c r="C39" s="3">
        <v>0</v>
      </c>
      <c r="D39" s="7" t="s">
        <v>21</v>
      </c>
      <c r="E39" s="8">
        <v>2.3118669999999999</v>
      </c>
      <c r="F39" s="20">
        <f t="shared" si="0"/>
        <v>0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22">
        <f t="shared" si="1"/>
        <v>0</v>
      </c>
      <c r="AM39" s="23">
        <f t="shared" si="2"/>
        <v>0</v>
      </c>
      <c r="AN39" s="24">
        <f t="shared" si="3"/>
        <v>0</v>
      </c>
    </row>
    <row r="40" spans="1:40" ht="25.05" customHeight="1" x14ac:dyDescent="0.3">
      <c r="A40" s="12">
        <v>30901</v>
      </c>
      <c r="B40" s="12" t="s">
        <v>52</v>
      </c>
      <c r="C40" s="3">
        <v>0</v>
      </c>
      <c r="D40" s="7" t="s">
        <v>21</v>
      </c>
      <c r="E40" s="8">
        <v>7.3</v>
      </c>
      <c r="F40" s="20">
        <f t="shared" si="0"/>
        <v>0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22">
        <f t="shared" si="1"/>
        <v>0</v>
      </c>
      <c r="AM40" s="23">
        <f t="shared" si="2"/>
        <v>0</v>
      </c>
      <c r="AN40" s="24">
        <f t="shared" si="3"/>
        <v>0</v>
      </c>
    </row>
    <row r="41" spans="1:40" ht="25.05" customHeight="1" x14ac:dyDescent="0.3">
      <c r="A41" s="12">
        <v>27499</v>
      </c>
      <c r="B41" s="12" t="s">
        <v>53</v>
      </c>
      <c r="C41" s="3">
        <v>0</v>
      </c>
      <c r="D41" s="7" t="s">
        <v>21</v>
      </c>
      <c r="E41" s="8">
        <v>11.9</v>
      </c>
      <c r="F41" s="20">
        <f t="shared" si="0"/>
        <v>0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22">
        <f t="shared" si="1"/>
        <v>0</v>
      </c>
      <c r="AM41" s="23">
        <f t="shared" si="2"/>
        <v>0</v>
      </c>
      <c r="AN41" s="24">
        <f t="shared" si="3"/>
        <v>0</v>
      </c>
    </row>
    <row r="42" spans="1:40" ht="25.05" customHeight="1" x14ac:dyDescent="0.3">
      <c r="A42" s="12">
        <v>67</v>
      </c>
      <c r="B42" s="12" t="s">
        <v>54</v>
      </c>
      <c r="C42" s="3">
        <v>0</v>
      </c>
      <c r="D42" s="7" t="s">
        <v>21</v>
      </c>
      <c r="E42" s="8">
        <v>4.5369260000000002</v>
      </c>
      <c r="F42" s="20">
        <f t="shared" si="0"/>
        <v>0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22">
        <f t="shared" si="1"/>
        <v>0</v>
      </c>
      <c r="AM42" s="23">
        <f t="shared" si="2"/>
        <v>0</v>
      </c>
      <c r="AN42" s="24">
        <f t="shared" si="3"/>
        <v>0</v>
      </c>
    </row>
    <row r="43" spans="1:40" ht="25.05" customHeight="1" x14ac:dyDescent="0.3">
      <c r="A43" s="12">
        <v>24630</v>
      </c>
      <c r="B43" s="12" t="s">
        <v>55</v>
      </c>
      <c r="C43" s="3">
        <v>0</v>
      </c>
      <c r="D43" s="7" t="s">
        <v>21</v>
      </c>
      <c r="E43" s="8">
        <v>5.08</v>
      </c>
      <c r="F43" s="20">
        <f t="shared" si="0"/>
        <v>0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22">
        <f t="shared" si="1"/>
        <v>0</v>
      </c>
      <c r="AM43" s="23">
        <f t="shared" si="2"/>
        <v>0</v>
      </c>
      <c r="AN43" s="24">
        <f t="shared" si="3"/>
        <v>0</v>
      </c>
    </row>
    <row r="44" spans="1:40" ht="25.05" customHeight="1" x14ac:dyDescent="0.3">
      <c r="A44" s="12">
        <v>934021</v>
      </c>
      <c r="B44" s="12" t="s">
        <v>56</v>
      </c>
      <c r="C44" s="3">
        <v>0</v>
      </c>
      <c r="D44" s="7" t="s">
        <v>21</v>
      </c>
      <c r="E44" s="8">
        <v>4.54</v>
      </c>
      <c r="F44" s="20">
        <f t="shared" si="0"/>
        <v>0</v>
      </c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22">
        <f t="shared" si="1"/>
        <v>0</v>
      </c>
      <c r="AM44" s="23">
        <f t="shared" si="2"/>
        <v>0</v>
      </c>
      <c r="AN44" s="24">
        <f t="shared" si="3"/>
        <v>0</v>
      </c>
    </row>
    <row r="45" spans="1:40" ht="25.05" customHeight="1" x14ac:dyDescent="0.3">
      <c r="A45" s="12">
        <v>961052</v>
      </c>
      <c r="B45" s="12" t="s">
        <v>57</v>
      </c>
      <c r="C45" s="3">
        <v>0</v>
      </c>
      <c r="D45" s="7" t="s">
        <v>21</v>
      </c>
      <c r="E45" s="8">
        <v>10.28</v>
      </c>
      <c r="F45" s="20">
        <f t="shared" si="0"/>
        <v>0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22">
        <f t="shared" si="1"/>
        <v>0</v>
      </c>
      <c r="AM45" s="23">
        <f t="shared" si="2"/>
        <v>0</v>
      </c>
      <c r="AN45" s="24">
        <f t="shared" si="3"/>
        <v>0</v>
      </c>
    </row>
    <row r="46" spans="1:40" ht="25.05" customHeight="1" x14ac:dyDescent="0.3">
      <c r="A46" s="12">
        <v>6903</v>
      </c>
      <c r="B46" s="12" t="s">
        <v>58</v>
      </c>
      <c r="C46" s="3">
        <v>0</v>
      </c>
      <c r="D46" s="7" t="s">
        <v>21</v>
      </c>
      <c r="E46" s="8">
        <v>2.1797140000000002</v>
      </c>
      <c r="F46" s="20">
        <f t="shared" si="0"/>
        <v>0</v>
      </c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22">
        <f t="shared" si="1"/>
        <v>0</v>
      </c>
      <c r="AM46" s="23">
        <f t="shared" si="2"/>
        <v>0</v>
      </c>
      <c r="AN46" s="24">
        <f t="shared" si="3"/>
        <v>0</v>
      </c>
    </row>
    <row r="47" spans="1:40" ht="25.05" customHeight="1" x14ac:dyDescent="0.3">
      <c r="A47" s="12">
        <v>14990</v>
      </c>
      <c r="B47" s="12" t="s">
        <v>59</v>
      </c>
      <c r="C47" s="3">
        <v>0</v>
      </c>
      <c r="D47" s="7" t="s">
        <v>21</v>
      </c>
      <c r="E47" s="8">
        <v>1.8499220000000001</v>
      </c>
      <c r="F47" s="20">
        <f t="shared" si="0"/>
        <v>0</v>
      </c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22">
        <f t="shared" si="1"/>
        <v>0</v>
      </c>
      <c r="AM47" s="23">
        <f t="shared" si="2"/>
        <v>0</v>
      </c>
      <c r="AN47" s="24">
        <f t="shared" si="3"/>
        <v>0</v>
      </c>
    </row>
    <row r="48" spans="1:40" ht="25.05" customHeight="1" x14ac:dyDescent="0.3">
      <c r="A48" s="12">
        <v>23809</v>
      </c>
      <c r="B48" s="12" t="s">
        <v>60</v>
      </c>
      <c r="C48" s="3">
        <v>0</v>
      </c>
      <c r="D48" s="7" t="s">
        <v>21</v>
      </c>
      <c r="E48" s="8">
        <v>2.8119990000000001</v>
      </c>
      <c r="F48" s="20">
        <f t="shared" si="0"/>
        <v>0</v>
      </c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22">
        <f t="shared" si="1"/>
        <v>0</v>
      </c>
      <c r="AM48" s="23">
        <f t="shared" si="2"/>
        <v>0</v>
      </c>
      <c r="AN48" s="24">
        <f t="shared" si="3"/>
        <v>0</v>
      </c>
    </row>
    <row r="49" spans="1:40" ht="25.05" customHeight="1" x14ac:dyDescent="0.3">
      <c r="A49" s="12">
        <v>162</v>
      </c>
      <c r="B49" s="12" t="s">
        <v>61</v>
      </c>
      <c r="C49" s="3">
        <v>0</v>
      </c>
      <c r="D49" s="7" t="s">
        <v>21</v>
      </c>
      <c r="E49" s="8">
        <v>3.67</v>
      </c>
      <c r="F49" s="20">
        <f t="shared" si="0"/>
        <v>0</v>
      </c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22">
        <f t="shared" si="1"/>
        <v>0</v>
      </c>
      <c r="AM49" s="23">
        <f t="shared" si="2"/>
        <v>0</v>
      </c>
      <c r="AN49" s="24">
        <f t="shared" si="3"/>
        <v>0</v>
      </c>
    </row>
    <row r="50" spans="1:40" ht="25.05" customHeight="1" x14ac:dyDescent="0.3">
      <c r="A50" s="12">
        <v>24364</v>
      </c>
      <c r="B50" s="12" t="s">
        <v>62</v>
      </c>
      <c r="C50" s="3">
        <v>0</v>
      </c>
      <c r="D50" s="7" t="s">
        <v>21</v>
      </c>
      <c r="E50" s="8">
        <v>3.028</v>
      </c>
      <c r="F50" s="20">
        <f t="shared" si="0"/>
        <v>0</v>
      </c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22">
        <f t="shared" si="1"/>
        <v>0</v>
      </c>
      <c r="AM50" s="23">
        <f t="shared" si="2"/>
        <v>0</v>
      </c>
      <c r="AN50" s="24">
        <f t="shared" si="3"/>
        <v>0</v>
      </c>
    </row>
    <row r="51" spans="1:40" ht="25.05" customHeight="1" x14ac:dyDescent="0.3">
      <c r="A51" s="12">
        <v>15560</v>
      </c>
      <c r="B51" s="12" t="s">
        <v>63</v>
      </c>
      <c r="C51" s="3">
        <v>0</v>
      </c>
      <c r="D51" s="7" t="s">
        <v>21</v>
      </c>
      <c r="E51" s="8">
        <v>4.5199999999999996</v>
      </c>
      <c r="F51" s="20">
        <f t="shared" si="0"/>
        <v>0</v>
      </c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22">
        <f t="shared" si="1"/>
        <v>0</v>
      </c>
      <c r="AM51" s="23">
        <f t="shared" si="2"/>
        <v>0</v>
      </c>
      <c r="AN51" s="24">
        <f t="shared" si="3"/>
        <v>0</v>
      </c>
    </row>
    <row r="52" spans="1:40" ht="25.05" customHeight="1" x14ac:dyDescent="0.3">
      <c r="A52" s="12">
        <v>15594</v>
      </c>
      <c r="B52" s="12" t="s">
        <v>64</v>
      </c>
      <c r="C52" s="3">
        <v>0</v>
      </c>
      <c r="D52" s="7" t="s">
        <v>21</v>
      </c>
      <c r="E52" s="8">
        <v>2.0539999999999998</v>
      </c>
      <c r="F52" s="20">
        <f t="shared" si="0"/>
        <v>0</v>
      </c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22">
        <f t="shared" si="1"/>
        <v>0</v>
      </c>
      <c r="AM52" s="23">
        <f t="shared" si="2"/>
        <v>0</v>
      </c>
      <c r="AN52" s="24">
        <f t="shared" si="3"/>
        <v>0</v>
      </c>
    </row>
    <row r="53" spans="1:40" ht="25.05" customHeight="1" x14ac:dyDescent="0.3">
      <c r="A53" s="12">
        <v>4279</v>
      </c>
      <c r="B53" s="12" t="s">
        <v>65</v>
      </c>
      <c r="C53" s="3">
        <v>0</v>
      </c>
      <c r="D53" s="7" t="s">
        <v>21</v>
      </c>
      <c r="E53" s="8">
        <v>3.194566</v>
      </c>
      <c r="F53" s="20">
        <f t="shared" si="0"/>
        <v>0</v>
      </c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22">
        <f t="shared" si="1"/>
        <v>0</v>
      </c>
      <c r="AM53" s="23">
        <f t="shared" si="2"/>
        <v>0</v>
      </c>
      <c r="AN53" s="24">
        <f t="shared" si="3"/>
        <v>0</v>
      </c>
    </row>
    <row r="54" spans="1:40" ht="25.05" customHeight="1" x14ac:dyDescent="0.3">
      <c r="A54" s="12">
        <v>3106</v>
      </c>
      <c r="B54" s="12" t="s">
        <v>66</v>
      </c>
      <c r="C54" s="3">
        <v>0</v>
      </c>
      <c r="D54" s="7" t="s">
        <v>21</v>
      </c>
      <c r="E54" s="8">
        <v>2.301123</v>
      </c>
      <c r="F54" s="20">
        <f t="shared" si="0"/>
        <v>0</v>
      </c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22">
        <f t="shared" si="1"/>
        <v>0</v>
      </c>
      <c r="AM54" s="23">
        <f t="shared" si="2"/>
        <v>0</v>
      </c>
      <c r="AN54" s="24">
        <f t="shared" si="3"/>
        <v>0</v>
      </c>
    </row>
    <row r="55" spans="1:40" ht="25.05" customHeight="1" x14ac:dyDescent="0.3">
      <c r="A55" s="12">
        <v>24632</v>
      </c>
      <c r="B55" s="12" t="s">
        <v>67</v>
      </c>
      <c r="C55" s="3">
        <v>0</v>
      </c>
      <c r="D55" s="7" t="s">
        <v>21</v>
      </c>
      <c r="E55" s="8">
        <v>6.11</v>
      </c>
      <c r="F55" s="20">
        <f t="shared" si="0"/>
        <v>0</v>
      </c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22">
        <f t="shared" si="1"/>
        <v>0</v>
      </c>
      <c r="AM55" s="23">
        <f t="shared" si="2"/>
        <v>0</v>
      </c>
      <c r="AN55" s="24">
        <f t="shared" si="3"/>
        <v>0</v>
      </c>
    </row>
    <row r="56" spans="1:40" ht="25.05" customHeight="1" x14ac:dyDescent="0.3">
      <c r="A56" s="12">
        <v>18003</v>
      </c>
      <c r="B56" s="12" t="s">
        <v>68</v>
      </c>
      <c r="C56" s="3">
        <v>0</v>
      </c>
      <c r="D56" s="7" t="s">
        <v>21</v>
      </c>
      <c r="E56" s="8">
        <v>7.3650000000000002</v>
      </c>
      <c r="F56" s="20">
        <f t="shared" si="0"/>
        <v>0</v>
      </c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22">
        <f t="shared" si="1"/>
        <v>0</v>
      </c>
      <c r="AM56" s="23">
        <f t="shared" si="2"/>
        <v>0</v>
      </c>
      <c r="AN56" s="24">
        <f t="shared" si="3"/>
        <v>0</v>
      </c>
    </row>
    <row r="57" spans="1:40" ht="25.05" customHeight="1" x14ac:dyDescent="0.3">
      <c r="A57" s="12">
        <v>14989</v>
      </c>
      <c r="B57" s="12" t="s">
        <v>69</v>
      </c>
      <c r="C57" s="3">
        <v>0</v>
      </c>
      <c r="D57" s="7" t="s">
        <v>21</v>
      </c>
      <c r="E57" s="8">
        <v>1.848992</v>
      </c>
      <c r="F57" s="20">
        <f t="shared" si="0"/>
        <v>0</v>
      </c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22">
        <f t="shared" si="1"/>
        <v>0</v>
      </c>
      <c r="AM57" s="23">
        <f t="shared" si="2"/>
        <v>0</v>
      </c>
      <c r="AN57" s="24">
        <f t="shared" si="3"/>
        <v>0</v>
      </c>
    </row>
    <row r="58" spans="1:40" ht="25.05" customHeight="1" x14ac:dyDescent="0.3">
      <c r="A58" s="12">
        <v>15888</v>
      </c>
      <c r="B58" s="12" t="s">
        <v>70</v>
      </c>
      <c r="C58" s="3">
        <v>0</v>
      </c>
      <c r="D58" s="7" t="s">
        <v>21</v>
      </c>
      <c r="E58" s="8">
        <v>5.0999999999999996</v>
      </c>
      <c r="F58" s="20">
        <f t="shared" si="0"/>
        <v>0</v>
      </c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22">
        <f t="shared" si="1"/>
        <v>0</v>
      </c>
      <c r="AM58" s="23">
        <f t="shared" si="2"/>
        <v>0</v>
      </c>
      <c r="AN58" s="24">
        <f t="shared" si="3"/>
        <v>0</v>
      </c>
    </row>
    <row r="59" spans="1:40" ht="25.05" customHeight="1" x14ac:dyDescent="0.3">
      <c r="A59" s="12">
        <v>15595</v>
      </c>
      <c r="B59" s="12" t="s">
        <v>71</v>
      </c>
      <c r="C59" s="3">
        <v>0</v>
      </c>
      <c r="D59" s="7" t="s">
        <v>21</v>
      </c>
      <c r="E59" s="8">
        <v>2.0539999999999998</v>
      </c>
      <c r="F59" s="20">
        <f t="shared" si="0"/>
        <v>0</v>
      </c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22">
        <f t="shared" si="1"/>
        <v>0</v>
      </c>
      <c r="AM59" s="23">
        <f t="shared" si="2"/>
        <v>0</v>
      </c>
      <c r="AN59" s="24">
        <f t="shared" si="3"/>
        <v>0</v>
      </c>
    </row>
    <row r="60" spans="1:40" ht="25.05" customHeight="1" x14ac:dyDescent="0.3">
      <c r="A60" s="12">
        <v>14505</v>
      </c>
      <c r="B60" s="12" t="s">
        <v>72</v>
      </c>
      <c r="C60" s="3">
        <v>0</v>
      </c>
      <c r="D60" s="7" t="s">
        <v>21</v>
      </c>
      <c r="E60" s="8">
        <v>4.75</v>
      </c>
      <c r="F60" s="20">
        <f t="shared" si="0"/>
        <v>0</v>
      </c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22">
        <f t="shared" si="1"/>
        <v>0</v>
      </c>
      <c r="AM60" s="23">
        <f t="shared" si="2"/>
        <v>0</v>
      </c>
      <c r="AN60" s="24">
        <f t="shared" si="3"/>
        <v>0</v>
      </c>
    </row>
    <row r="61" spans="1:40" ht="25.05" customHeight="1" x14ac:dyDescent="0.3">
      <c r="A61" s="12">
        <v>23914</v>
      </c>
      <c r="B61" s="12" t="s">
        <v>73</v>
      </c>
      <c r="C61" s="3">
        <v>0</v>
      </c>
      <c r="D61" s="7" t="s">
        <v>21</v>
      </c>
      <c r="E61" s="8">
        <v>7.9</v>
      </c>
      <c r="F61" s="20">
        <f t="shared" si="0"/>
        <v>0</v>
      </c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22">
        <f t="shared" si="1"/>
        <v>0</v>
      </c>
      <c r="AM61" s="23">
        <f t="shared" si="2"/>
        <v>0</v>
      </c>
      <c r="AN61" s="24">
        <f t="shared" si="3"/>
        <v>0</v>
      </c>
    </row>
    <row r="62" spans="1:40" ht="25.05" customHeight="1" x14ac:dyDescent="0.3">
      <c r="A62" s="12">
        <v>4280</v>
      </c>
      <c r="B62" s="12" t="s">
        <v>74</v>
      </c>
      <c r="C62" s="3">
        <v>0</v>
      </c>
      <c r="D62" s="7" t="s">
        <v>21</v>
      </c>
      <c r="E62" s="8">
        <v>3.904579</v>
      </c>
      <c r="F62" s="20">
        <f t="shared" si="0"/>
        <v>0</v>
      </c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22">
        <f t="shared" si="1"/>
        <v>0</v>
      </c>
      <c r="AM62" s="23">
        <f t="shared" si="2"/>
        <v>0</v>
      </c>
      <c r="AN62" s="24">
        <f t="shared" si="3"/>
        <v>0</v>
      </c>
    </row>
    <row r="63" spans="1:40" ht="25.05" customHeight="1" x14ac:dyDescent="0.3">
      <c r="A63" s="12">
        <v>15561</v>
      </c>
      <c r="B63" s="12" t="s">
        <v>75</v>
      </c>
      <c r="C63" s="3">
        <v>0</v>
      </c>
      <c r="D63" s="7" t="s">
        <v>21</v>
      </c>
      <c r="E63" s="8">
        <v>4.009112</v>
      </c>
      <c r="F63" s="20">
        <f t="shared" si="0"/>
        <v>0</v>
      </c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22">
        <f t="shared" si="1"/>
        <v>0</v>
      </c>
      <c r="AM63" s="23">
        <f t="shared" si="2"/>
        <v>0</v>
      </c>
      <c r="AN63" s="24">
        <f t="shared" si="3"/>
        <v>0</v>
      </c>
    </row>
    <row r="64" spans="1:40" ht="25.05" customHeight="1" x14ac:dyDescent="0.3">
      <c r="A64" s="12">
        <v>3105</v>
      </c>
      <c r="B64" s="12" t="s">
        <v>76</v>
      </c>
      <c r="C64" s="3">
        <v>0</v>
      </c>
      <c r="D64" s="7" t="s">
        <v>21</v>
      </c>
      <c r="E64" s="8">
        <v>2.306432</v>
      </c>
      <c r="F64" s="20">
        <f t="shared" si="0"/>
        <v>0</v>
      </c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22">
        <f t="shared" si="1"/>
        <v>0</v>
      </c>
      <c r="AM64" s="23">
        <f t="shared" si="2"/>
        <v>0</v>
      </c>
      <c r="AN64" s="24">
        <f t="shared" si="3"/>
        <v>0</v>
      </c>
    </row>
    <row r="65" spans="1:40" ht="25.05" customHeight="1" x14ac:dyDescent="0.3">
      <c r="A65" s="12">
        <v>28869</v>
      </c>
      <c r="B65" s="12" t="s">
        <v>77</v>
      </c>
      <c r="C65" s="3">
        <v>0</v>
      </c>
      <c r="D65" s="7" t="s">
        <v>21</v>
      </c>
      <c r="E65" s="8">
        <v>4.75</v>
      </c>
      <c r="F65" s="20">
        <f t="shared" si="0"/>
        <v>0</v>
      </c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22">
        <f t="shared" si="1"/>
        <v>0</v>
      </c>
      <c r="AM65" s="23">
        <f t="shared" si="2"/>
        <v>0</v>
      </c>
      <c r="AN65" s="24">
        <f t="shared" si="3"/>
        <v>0</v>
      </c>
    </row>
    <row r="66" spans="1:40" ht="25.05" customHeight="1" x14ac:dyDescent="0.3">
      <c r="A66" s="12">
        <v>16138</v>
      </c>
      <c r="B66" s="12" t="s">
        <v>78</v>
      </c>
      <c r="C66" s="3">
        <v>0</v>
      </c>
      <c r="D66" s="7" t="s">
        <v>21</v>
      </c>
      <c r="E66" s="8">
        <v>7.4498939999999996</v>
      </c>
      <c r="F66" s="20">
        <f t="shared" si="0"/>
        <v>0</v>
      </c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22">
        <f t="shared" si="1"/>
        <v>0</v>
      </c>
      <c r="AM66" s="23">
        <f t="shared" si="2"/>
        <v>0</v>
      </c>
      <c r="AN66" s="24">
        <f t="shared" si="3"/>
        <v>0</v>
      </c>
    </row>
    <row r="67" spans="1:40" ht="25.05" customHeight="1" x14ac:dyDescent="0.3">
      <c r="A67" s="12">
        <v>13345</v>
      </c>
      <c r="B67" s="12" t="s">
        <v>79</v>
      </c>
      <c r="C67" s="3">
        <v>0</v>
      </c>
      <c r="D67" s="7" t="s">
        <v>21</v>
      </c>
      <c r="E67" s="8">
        <v>8.6300000000000008</v>
      </c>
      <c r="F67" s="20">
        <f t="shared" si="0"/>
        <v>0</v>
      </c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22">
        <f t="shared" si="1"/>
        <v>0</v>
      </c>
      <c r="AM67" s="23">
        <f t="shared" si="2"/>
        <v>0</v>
      </c>
      <c r="AN67" s="24">
        <f t="shared" si="3"/>
        <v>0</v>
      </c>
    </row>
    <row r="68" spans="1:40" ht="25.05" customHeight="1" x14ac:dyDescent="0.3">
      <c r="A68" s="12">
        <v>934024</v>
      </c>
      <c r="B68" s="12" t="s">
        <v>80</v>
      </c>
      <c r="C68" s="3">
        <v>0</v>
      </c>
      <c r="D68" s="7" t="s">
        <v>21</v>
      </c>
      <c r="E68" s="8">
        <v>6.19</v>
      </c>
      <c r="F68" s="20">
        <f t="shared" si="0"/>
        <v>0</v>
      </c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22">
        <f t="shared" si="1"/>
        <v>0</v>
      </c>
      <c r="AM68" s="23">
        <f t="shared" si="2"/>
        <v>0</v>
      </c>
      <c r="AN68" s="24">
        <f t="shared" si="3"/>
        <v>0</v>
      </c>
    </row>
    <row r="69" spans="1:40" ht="25.05" customHeight="1" x14ac:dyDescent="0.3">
      <c r="A69" s="12">
        <v>17084</v>
      </c>
      <c r="B69" s="12" t="s">
        <v>81</v>
      </c>
      <c r="C69" s="3">
        <v>0</v>
      </c>
      <c r="D69" s="7" t="s">
        <v>21</v>
      </c>
      <c r="E69" s="8">
        <v>4.6884050000000004</v>
      </c>
      <c r="F69" s="20">
        <f t="shared" si="0"/>
        <v>0</v>
      </c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22">
        <f t="shared" si="1"/>
        <v>0</v>
      </c>
      <c r="AM69" s="23">
        <f t="shared" si="2"/>
        <v>0</v>
      </c>
      <c r="AN69" s="24">
        <f t="shared" si="3"/>
        <v>0</v>
      </c>
    </row>
    <row r="70" spans="1:40" ht="25.05" customHeight="1" x14ac:dyDescent="0.3">
      <c r="A70" s="12">
        <v>14988</v>
      </c>
      <c r="B70" s="12" t="s">
        <v>82</v>
      </c>
      <c r="C70" s="3">
        <v>0</v>
      </c>
      <c r="D70" s="7" t="s">
        <v>21</v>
      </c>
      <c r="E70" s="8">
        <v>1.849512</v>
      </c>
      <c r="F70" s="20">
        <f t="shared" si="0"/>
        <v>0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22">
        <f t="shared" si="1"/>
        <v>0</v>
      </c>
      <c r="AM70" s="23">
        <f t="shared" si="2"/>
        <v>0</v>
      </c>
      <c r="AN70" s="24">
        <f t="shared" si="3"/>
        <v>0</v>
      </c>
    </row>
    <row r="71" spans="1:40" ht="25.05" customHeight="1" x14ac:dyDescent="0.3">
      <c r="A71" s="12">
        <v>4286</v>
      </c>
      <c r="B71" s="12" t="s">
        <v>83</v>
      </c>
      <c r="C71" s="3">
        <v>0</v>
      </c>
      <c r="D71" s="7" t="s">
        <v>21</v>
      </c>
      <c r="E71" s="8">
        <v>14.6</v>
      </c>
      <c r="F71" s="20">
        <f t="shared" si="0"/>
        <v>0</v>
      </c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22">
        <f t="shared" si="1"/>
        <v>0</v>
      </c>
      <c r="AM71" s="23">
        <f t="shared" si="2"/>
        <v>0</v>
      </c>
      <c r="AN71" s="24">
        <f t="shared" si="3"/>
        <v>0</v>
      </c>
    </row>
    <row r="72" spans="1:40" ht="25.05" customHeight="1" x14ac:dyDescent="0.3">
      <c r="A72" s="12">
        <v>23808</v>
      </c>
      <c r="B72" s="12" t="s">
        <v>84</v>
      </c>
      <c r="C72" s="3">
        <v>0</v>
      </c>
      <c r="D72" s="7" t="s">
        <v>21</v>
      </c>
      <c r="E72" s="8">
        <v>5.0779560000000004</v>
      </c>
      <c r="F72" s="20">
        <f t="shared" si="0"/>
        <v>0</v>
      </c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22">
        <f t="shared" si="1"/>
        <v>0</v>
      </c>
      <c r="AM72" s="23">
        <f t="shared" si="2"/>
        <v>0</v>
      </c>
      <c r="AN72" s="24">
        <f t="shared" si="3"/>
        <v>0</v>
      </c>
    </row>
    <row r="73" spans="1:40" ht="25.05" customHeight="1" x14ac:dyDescent="0.3">
      <c r="A73" s="12">
        <v>24655</v>
      </c>
      <c r="B73" s="12" t="s">
        <v>85</v>
      </c>
      <c r="C73" s="3">
        <v>0</v>
      </c>
      <c r="D73" s="7" t="s">
        <v>21</v>
      </c>
      <c r="E73" s="8">
        <v>11.12</v>
      </c>
      <c r="F73" s="20">
        <f t="shared" si="0"/>
        <v>0</v>
      </c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2">
        <f t="shared" si="1"/>
        <v>0</v>
      </c>
      <c r="AM73" s="23">
        <f t="shared" si="2"/>
        <v>0</v>
      </c>
      <c r="AN73" s="24">
        <f t="shared" si="3"/>
        <v>0</v>
      </c>
    </row>
    <row r="74" spans="1:40" ht="25.05" customHeight="1" x14ac:dyDescent="0.3">
      <c r="A74" s="12">
        <v>6923</v>
      </c>
      <c r="B74" s="12" t="s">
        <v>86</v>
      </c>
      <c r="C74" s="3">
        <v>0</v>
      </c>
      <c r="D74" s="7" t="s">
        <v>21</v>
      </c>
      <c r="E74" s="8">
        <v>2.1926049999999999</v>
      </c>
      <c r="F74" s="20">
        <f t="shared" si="0"/>
        <v>0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22">
        <f t="shared" si="1"/>
        <v>0</v>
      </c>
      <c r="AM74" s="23">
        <f t="shared" si="2"/>
        <v>0</v>
      </c>
      <c r="AN74" s="24">
        <f t="shared" si="3"/>
        <v>0</v>
      </c>
    </row>
    <row r="75" spans="1:40" ht="25.05" customHeight="1" x14ac:dyDescent="0.3">
      <c r="A75" s="12">
        <v>6927</v>
      </c>
      <c r="B75" s="12" t="s">
        <v>87</v>
      </c>
      <c r="C75" s="3">
        <v>0</v>
      </c>
      <c r="D75" s="7" t="s">
        <v>21</v>
      </c>
      <c r="E75" s="8">
        <v>5.0286609999999996</v>
      </c>
      <c r="F75" s="20">
        <f t="shared" si="0"/>
        <v>0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22">
        <f t="shared" si="1"/>
        <v>0</v>
      </c>
      <c r="AM75" s="23">
        <f t="shared" si="2"/>
        <v>0</v>
      </c>
      <c r="AN75" s="24">
        <f t="shared" si="3"/>
        <v>0</v>
      </c>
    </row>
    <row r="76" spans="1:40" ht="25.05" customHeight="1" x14ac:dyDescent="0.3">
      <c r="A76" s="12">
        <v>19084</v>
      </c>
      <c r="B76" s="12" t="s">
        <v>88</v>
      </c>
      <c r="C76" s="3">
        <v>0</v>
      </c>
      <c r="D76" s="7" t="s">
        <v>21</v>
      </c>
      <c r="E76" s="8">
        <v>12.9</v>
      </c>
      <c r="F76" s="20">
        <f t="shared" si="0"/>
        <v>0</v>
      </c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22">
        <f t="shared" si="1"/>
        <v>0</v>
      </c>
      <c r="AM76" s="23">
        <f t="shared" si="2"/>
        <v>0</v>
      </c>
      <c r="AN76" s="24">
        <f t="shared" si="3"/>
        <v>0</v>
      </c>
    </row>
    <row r="77" spans="1:40" ht="25.05" customHeight="1" x14ac:dyDescent="0.3">
      <c r="A77" s="12">
        <v>6471</v>
      </c>
      <c r="B77" s="12" t="s">
        <v>89</v>
      </c>
      <c r="C77" s="3">
        <v>0</v>
      </c>
      <c r="D77" s="7" t="s">
        <v>21</v>
      </c>
      <c r="E77" s="8">
        <v>6.1498710000000001</v>
      </c>
      <c r="F77" s="20">
        <f t="shared" si="0"/>
        <v>0</v>
      </c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22">
        <f t="shared" si="1"/>
        <v>0</v>
      </c>
      <c r="AM77" s="23">
        <f t="shared" si="2"/>
        <v>0</v>
      </c>
      <c r="AN77" s="24">
        <f t="shared" si="3"/>
        <v>0</v>
      </c>
    </row>
    <row r="78" spans="1:40" ht="25.05" customHeight="1" x14ac:dyDescent="0.3">
      <c r="A78" s="12">
        <v>4815</v>
      </c>
      <c r="B78" s="12" t="s">
        <v>90</v>
      </c>
      <c r="C78" s="3">
        <v>0</v>
      </c>
      <c r="D78" s="7" t="s">
        <v>23</v>
      </c>
      <c r="E78" s="8">
        <v>1.1180000000000001</v>
      </c>
      <c r="F78" s="20">
        <f t="shared" si="0"/>
        <v>0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22">
        <f t="shared" si="1"/>
        <v>0</v>
      </c>
      <c r="AM78" s="23">
        <f t="shared" si="2"/>
        <v>0</v>
      </c>
      <c r="AN78" s="24">
        <f t="shared" si="3"/>
        <v>0</v>
      </c>
    </row>
    <row r="79" spans="1:40" ht="25.05" customHeight="1" x14ac:dyDescent="0.3">
      <c r="A79" s="12">
        <v>4840</v>
      </c>
      <c r="B79" s="12" t="s">
        <v>91</v>
      </c>
      <c r="C79" s="3">
        <v>0</v>
      </c>
      <c r="D79" s="7" t="s">
        <v>23</v>
      </c>
      <c r="E79" s="8">
        <v>1.1180000000000001</v>
      </c>
      <c r="F79" s="20">
        <f t="shared" si="0"/>
        <v>0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22">
        <f t="shared" si="1"/>
        <v>0</v>
      </c>
      <c r="AM79" s="23">
        <f t="shared" si="2"/>
        <v>0</v>
      </c>
      <c r="AN79" s="24">
        <f t="shared" si="3"/>
        <v>0</v>
      </c>
    </row>
    <row r="80" spans="1:40" ht="25.05" customHeight="1" x14ac:dyDescent="0.3">
      <c r="C80" s="3">
        <f>SUM(C7:C79)</f>
        <v>0</v>
      </c>
      <c r="D80" s="9"/>
      <c r="E80" s="10" t="s">
        <v>92</v>
      </c>
      <c r="F80" s="11">
        <f>SUM(F7:F79)</f>
        <v>0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>
        <f t="shared" ref="AL80:AN80" si="4">SUM(AL7:AL79)</f>
        <v>0</v>
      </c>
      <c r="AM80" s="12">
        <f t="shared" si="4"/>
        <v>0</v>
      </c>
      <c r="AN80" s="25">
        <f t="shared" si="4"/>
        <v>0</v>
      </c>
    </row>
    <row r="81" spans="4:40" ht="25.05" customHeight="1" x14ac:dyDescent="0.3">
      <c r="D81" s="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</row>
    <row r="82" spans="4:40" ht="25.05" customHeight="1" x14ac:dyDescent="0.3">
      <c r="D82" s="9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</row>
    <row r="83" spans="4:40" ht="25.05" customHeight="1" x14ac:dyDescent="0.3">
      <c r="D83" s="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</row>
    <row r="84" spans="4:40" ht="25.05" customHeight="1" x14ac:dyDescent="0.3">
      <c r="D84" s="9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</row>
    <row r="85" spans="4:40" ht="25.05" customHeight="1" x14ac:dyDescent="0.3">
      <c r="D85" s="9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</row>
    <row r="86" spans="4:40" ht="25.05" customHeight="1" x14ac:dyDescent="0.3">
      <c r="D86" s="9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</row>
    <row r="87" spans="4:40" ht="25.05" customHeight="1" x14ac:dyDescent="0.3">
      <c r="D87" s="9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</row>
    <row r="88" spans="4:40" ht="25.05" customHeight="1" x14ac:dyDescent="0.3">
      <c r="D88" s="9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</row>
    <row r="89" spans="4:40" ht="25.05" customHeight="1" x14ac:dyDescent="0.3">
      <c r="D89" s="9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</row>
    <row r="90" spans="4:40" ht="25.05" customHeight="1" x14ac:dyDescent="0.3">
      <c r="D90" s="9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</row>
    <row r="91" spans="4:40" ht="25.05" customHeight="1" x14ac:dyDescent="0.3">
      <c r="D91" s="9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</row>
    <row r="92" spans="4:40" ht="25.05" customHeight="1" x14ac:dyDescent="0.3">
      <c r="D92" s="9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</row>
    <row r="93" spans="4:40" ht="25.05" customHeight="1" x14ac:dyDescent="0.3">
      <c r="D93" s="9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</row>
    <row r="94" spans="4:40" ht="25.05" customHeight="1" x14ac:dyDescent="0.3">
      <c r="D94" s="9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</row>
    <row r="95" spans="4:40" ht="25.05" customHeight="1" x14ac:dyDescent="0.3">
      <c r="D95" s="9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</row>
    <row r="96" spans="4:40" ht="25.05" customHeight="1" x14ac:dyDescent="0.3">
      <c r="D96" s="9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</row>
    <row r="97" spans="4:40" ht="25.05" customHeight="1" x14ac:dyDescent="0.3">
      <c r="D97" s="9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</row>
    <row r="98" spans="4:40" ht="25.05" customHeight="1" x14ac:dyDescent="0.3">
      <c r="D98" s="9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</row>
    <row r="99" spans="4:40" ht="25.05" customHeight="1" x14ac:dyDescent="0.3">
      <c r="D99" s="9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</row>
    <row r="100" spans="4:40" ht="25.05" customHeight="1" x14ac:dyDescent="0.3">
      <c r="D100" s="9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</row>
    <row r="101" spans="4:40" ht="25.05" customHeight="1" x14ac:dyDescent="0.3">
      <c r="D101" s="9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</row>
    <row r="102" spans="4:40" ht="25.05" customHeight="1" x14ac:dyDescent="0.3">
      <c r="D102" s="9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</row>
    <row r="103" spans="4:40" ht="25.05" customHeight="1" x14ac:dyDescent="0.3">
      <c r="D103" s="9"/>
    </row>
    <row r="104" spans="4:40" ht="25.05" customHeight="1" x14ac:dyDescent="0.3">
      <c r="D104" s="9"/>
    </row>
    <row r="105" spans="4:40" ht="25.05" customHeight="1" x14ac:dyDescent="0.3">
      <c r="D105" s="9"/>
    </row>
    <row r="106" spans="4:40" ht="25.05" customHeight="1" x14ac:dyDescent="0.3">
      <c r="D106" s="9"/>
    </row>
    <row r="107" spans="4:40" ht="25.05" customHeight="1" x14ac:dyDescent="0.3">
      <c r="D107" s="9"/>
    </row>
    <row r="108" spans="4:40" ht="25.05" customHeight="1" x14ac:dyDescent="0.3">
      <c r="D108" s="9"/>
    </row>
    <row r="109" spans="4:40" ht="25.05" customHeight="1" x14ac:dyDescent="0.3">
      <c r="D109" s="9"/>
    </row>
    <row r="110" spans="4:40" ht="25.05" customHeight="1" x14ac:dyDescent="0.3">
      <c r="D110" s="9"/>
    </row>
    <row r="111" spans="4:40" ht="25.05" customHeight="1" x14ac:dyDescent="0.3">
      <c r="D111" s="9"/>
    </row>
    <row r="112" spans="4:40" ht="25.05" customHeight="1" x14ac:dyDescent="0.3">
      <c r="D112" s="9"/>
    </row>
    <row r="113" spans="4:4" ht="25.05" customHeight="1" x14ac:dyDescent="0.3">
      <c r="D113" s="9"/>
    </row>
    <row r="114" spans="4:4" ht="25.05" customHeight="1" x14ac:dyDescent="0.3">
      <c r="D114" s="9"/>
    </row>
    <row r="115" spans="4:4" ht="25.05" customHeight="1" x14ac:dyDescent="0.3">
      <c r="D115" s="9"/>
    </row>
    <row r="116" spans="4:4" ht="25.05" customHeight="1" x14ac:dyDescent="0.3">
      <c r="D116" s="9"/>
    </row>
    <row r="117" spans="4:4" ht="25.05" customHeight="1" x14ac:dyDescent="0.3">
      <c r="D117" s="9"/>
    </row>
    <row r="118" spans="4:4" ht="25.05" customHeight="1" x14ac:dyDescent="0.3">
      <c r="D118" s="9"/>
    </row>
    <row r="119" spans="4:4" ht="25.05" customHeight="1" x14ac:dyDescent="0.3">
      <c r="D119" s="9"/>
    </row>
    <row r="120" spans="4:4" ht="25.05" customHeight="1" x14ac:dyDescent="0.3">
      <c r="D120" s="9"/>
    </row>
    <row r="121" spans="4:4" ht="25.05" customHeight="1" x14ac:dyDescent="0.3">
      <c r="D121" s="9"/>
    </row>
    <row r="122" spans="4:4" ht="25.05" customHeight="1" x14ac:dyDescent="0.3">
      <c r="D122" s="9"/>
    </row>
    <row r="123" spans="4:4" ht="25.05" customHeight="1" x14ac:dyDescent="0.3">
      <c r="D123" s="9"/>
    </row>
    <row r="124" spans="4:4" ht="25.05" customHeight="1" x14ac:dyDescent="0.3">
      <c r="D124" s="9"/>
    </row>
    <row r="125" spans="4:4" ht="25.05" customHeight="1" x14ac:dyDescent="0.3">
      <c r="D125" s="9"/>
    </row>
    <row r="126" spans="4:4" ht="25.05" customHeight="1" x14ac:dyDescent="0.3">
      <c r="D126" s="9"/>
    </row>
    <row r="127" spans="4:4" ht="25.05" customHeight="1" x14ac:dyDescent="0.3">
      <c r="D127" s="9"/>
    </row>
    <row r="128" spans="4:4" ht="25.05" customHeight="1" x14ac:dyDescent="0.3">
      <c r="D128" s="9"/>
    </row>
    <row r="129" spans="4:4" ht="25.05" customHeight="1" x14ac:dyDescent="0.3">
      <c r="D129" s="9"/>
    </row>
    <row r="130" spans="4:4" ht="25.05" customHeight="1" x14ac:dyDescent="0.3">
      <c r="D130" s="9"/>
    </row>
    <row r="131" spans="4:4" ht="25.05" customHeight="1" x14ac:dyDescent="0.3">
      <c r="D131" s="9"/>
    </row>
    <row r="132" spans="4:4" ht="25.05" customHeight="1" x14ac:dyDescent="0.3">
      <c r="D132" s="9"/>
    </row>
    <row r="133" spans="4:4" ht="25.05" customHeight="1" x14ac:dyDescent="0.3">
      <c r="D133" s="9"/>
    </row>
    <row r="134" spans="4:4" ht="25.05" customHeight="1" x14ac:dyDescent="0.3">
      <c r="D134" s="9"/>
    </row>
    <row r="135" spans="4:4" ht="25.05" customHeight="1" x14ac:dyDescent="0.3">
      <c r="D135" s="9"/>
    </row>
    <row r="136" spans="4:4" ht="25.05" customHeight="1" x14ac:dyDescent="0.3">
      <c r="D136" s="9"/>
    </row>
    <row r="137" spans="4:4" ht="25.05" customHeight="1" x14ac:dyDescent="0.3">
      <c r="D137" s="9"/>
    </row>
    <row r="138" spans="4:4" ht="25.05" customHeight="1" x14ac:dyDescent="0.3">
      <c r="D138" s="9"/>
    </row>
    <row r="139" spans="4:4" ht="25.05" customHeight="1" x14ac:dyDescent="0.3">
      <c r="D139" s="9"/>
    </row>
    <row r="140" spans="4:4" ht="25.05" customHeight="1" x14ac:dyDescent="0.3">
      <c r="D140" s="9"/>
    </row>
    <row r="141" spans="4:4" ht="25.05" customHeight="1" x14ac:dyDescent="0.3">
      <c r="D141" s="9"/>
    </row>
    <row r="142" spans="4:4" ht="25.05" customHeight="1" x14ac:dyDescent="0.3">
      <c r="D142" s="9"/>
    </row>
    <row r="143" spans="4:4" ht="25.05" customHeight="1" x14ac:dyDescent="0.3">
      <c r="D143" s="9"/>
    </row>
    <row r="144" spans="4:4" ht="25.05" customHeight="1" x14ac:dyDescent="0.3">
      <c r="D144" s="9"/>
    </row>
    <row r="145" spans="4:4" ht="25.05" customHeight="1" x14ac:dyDescent="0.3">
      <c r="D145" s="9"/>
    </row>
    <row r="146" spans="4:4" ht="25.05" customHeight="1" x14ac:dyDescent="0.3">
      <c r="D146" s="9"/>
    </row>
    <row r="147" spans="4:4" ht="25.05" customHeight="1" x14ac:dyDescent="0.3">
      <c r="D147" s="9"/>
    </row>
    <row r="148" spans="4:4" ht="25.05" customHeight="1" x14ac:dyDescent="0.3">
      <c r="D148" s="9"/>
    </row>
    <row r="149" spans="4:4" ht="25.05" customHeight="1" x14ac:dyDescent="0.3">
      <c r="D149" s="9"/>
    </row>
    <row r="150" spans="4:4" ht="25.05" customHeight="1" x14ac:dyDescent="0.3">
      <c r="D150" s="9"/>
    </row>
    <row r="151" spans="4:4" ht="25.05" customHeight="1" x14ac:dyDescent="0.3">
      <c r="D151" s="9"/>
    </row>
    <row r="152" spans="4:4" ht="25.05" customHeight="1" x14ac:dyDescent="0.3">
      <c r="D152" s="9"/>
    </row>
    <row r="153" spans="4:4" ht="25.05" customHeight="1" x14ac:dyDescent="0.3">
      <c r="D153" s="9"/>
    </row>
    <row r="154" spans="4:4" ht="25.05" customHeight="1" x14ac:dyDescent="0.3">
      <c r="D154" s="9"/>
    </row>
    <row r="155" spans="4:4" ht="25.05" customHeight="1" x14ac:dyDescent="0.3">
      <c r="D155" s="9"/>
    </row>
    <row r="156" spans="4:4" ht="25.05" customHeight="1" x14ac:dyDescent="0.3">
      <c r="D156" s="9"/>
    </row>
    <row r="157" spans="4:4" ht="25.05" customHeight="1" x14ac:dyDescent="0.3">
      <c r="D157" s="9"/>
    </row>
    <row r="158" spans="4:4" ht="25.05" customHeight="1" x14ac:dyDescent="0.3">
      <c r="D158" s="9"/>
    </row>
    <row r="159" spans="4:4" ht="25.05" customHeight="1" x14ac:dyDescent="0.3">
      <c r="D159" s="9"/>
    </row>
    <row r="160" spans="4:4" ht="25.05" customHeight="1" x14ac:dyDescent="0.3">
      <c r="D160" s="9"/>
    </row>
    <row r="161" spans="4:4" ht="25.05" customHeight="1" x14ac:dyDescent="0.3">
      <c r="D161" s="9"/>
    </row>
    <row r="162" spans="4:4" ht="25.05" customHeight="1" x14ac:dyDescent="0.3">
      <c r="D162" s="9"/>
    </row>
    <row r="163" spans="4:4" ht="25.05" customHeight="1" x14ac:dyDescent="0.3">
      <c r="D163" s="9"/>
    </row>
    <row r="164" spans="4:4" ht="25.05" customHeight="1" x14ac:dyDescent="0.3">
      <c r="D164" s="9"/>
    </row>
    <row r="165" spans="4:4" ht="25.05" customHeight="1" x14ac:dyDescent="0.3">
      <c r="D165" s="9"/>
    </row>
    <row r="166" spans="4:4" ht="25.05" customHeight="1" x14ac:dyDescent="0.3">
      <c r="D166" s="9"/>
    </row>
    <row r="167" spans="4:4" ht="25.05" customHeight="1" x14ac:dyDescent="0.3">
      <c r="D167" s="9"/>
    </row>
    <row r="168" spans="4:4" ht="25.05" customHeight="1" x14ac:dyDescent="0.3">
      <c r="D168" s="9"/>
    </row>
    <row r="169" spans="4:4" ht="25.05" customHeight="1" x14ac:dyDescent="0.3">
      <c r="D169" s="9"/>
    </row>
    <row r="170" spans="4:4" ht="25.05" customHeight="1" x14ac:dyDescent="0.3">
      <c r="D170" s="9"/>
    </row>
    <row r="171" spans="4:4" ht="25.05" customHeight="1" x14ac:dyDescent="0.3">
      <c r="D171" s="9"/>
    </row>
    <row r="172" spans="4:4" ht="25.05" customHeight="1" x14ac:dyDescent="0.3">
      <c r="D172" s="9"/>
    </row>
    <row r="173" spans="4:4" ht="25.05" customHeight="1" x14ac:dyDescent="0.3">
      <c r="D173" s="9"/>
    </row>
    <row r="174" spans="4:4" ht="25.05" customHeight="1" x14ac:dyDescent="0.3">
      <c r="D174" s="9"/>
    </row>
    <row r="175" spans="4:4" ht="25.05" customHeight="1" x14ac:dyDescent="0.3">
      <c r="D175" s="9"/>
    </row>
    <row r="176" spans="4:4" ht="25.05" customHeight="1" x14ac:dyDescent="0.3">
      <c r="D176" s="9"/>
    </row>
    <row r="177" spans="4:4" ht="25.05" customHeight="1" x14ac:dyDescent="0.3">
      <c r="D177" s="9"/>
    </row>
    <row r="178" spans="4:4" ht="25.05" customHeight="1" x14ac:dyDescent="0.3">
      <c r="D178" s="9"/>
    </row>
    <row r="179" spans="4:4" ht="25.05" customHeight="1" x14ac:dyDescent="0.3">
      <c r="D179" s="9"/>
    </row>
    <row r="180" spans="4:4" ht="25.05" customHeight="1" x14ac:dyDescent="0.3">
      <c r="D180" s="9"/>
    </row>
    <row r="181" spans="4:4" ht="25.05" customHeight="1" x14ac:dyDescent="0.3">
      <c r="D181" s="9"/>
    </row>
    <row r="182" spans="4:4" ht="25.05" customHeight="1" x14ac:dyDescent="0.3">
      <c r="D182" s="9"/>
    </row>
    <row r="183" spans="4:4" ht="25.05" customHeight="1" x14ac:dyDescent="0.3">
      <c r="D183" s="9"/>
    </row>
    <row r="184" spans="4:4" ht="25.05" customHeight="1" x14ac:dyDescent="0.3">
      <c r="D184" s="9"/>
    </row>
    <row r="185" spans="4:4" ht="25.05" customHeight="1" x14ac:dyDescent="0.3">
      <c r="D185" s="9"/>
    </row>
    <row r="186" spans="4:4" ht="25.05" customHeight="1" x14ac:dyDescent="0.3">
      <c r="D186" s="9"/>
    </row>
    <row r="187" spans="4:4" ht="25.05" customHeight="1" x14ac:dyDescent="0.3">
      <c r="D187" s="9"/>
    </row>
    <row r="188" spans="4:4" ht="25.05" customHeight="1" x14ac:dyDescent="0.3">
      <c r="D188" s="9"/>
    </row>
    <row r="189" spans="4:4" ht="25.05" customHeight="1" x14ac:dyDescent="0.3">
      <c r="D189" s="9"/>
    </row>
    <row r="190" spans="4:4" ht="25.05" customHeight="1" x14ac:dyDescent="0.3">
      <c r="D190" s="9"/>
    </row>
    <row r="191" spans="4:4" ht="25.05" customHeight="1" x14ac:dyDescent="0.3">
      <c r="D191" s="9"/>
    </row>
    <row r="192" spans="4:4" ht="25.05" customHeight="1" x14ac:dyDescent="0.3">
      <c r="D192" s="9"/>
    </row>
    <row r="193" spans="4:4" ht="25.05" customHeight="1" x14ac:dyDescent="0.3">
      <c r="D193" s="9"/>
    </row>
    <row r="194" spans="4:4" ht="25.05" customHeight="1" x14ac:dyDescent="0.3">
      <c r="D194" s="9"/>
    </row>
    <row r="195" spans="4:4" ht="25.05" customHeight="1" x14ac:dyDescent="0.3">
      <c r="D195" s="9"/>
    </row>
    <row r="196" spans="4:4" ht="25.05" customHeight="1" x14ac:dyDescent="0.3">
      <c r="D196" s="9"/>
    </row>
    <row r="197" spans="4:4" ht="25.05" customHeight="1" x14ac:dyDescent="0.3">
      <c r="D197" s="9"/>
    </row>
    <row r="198" spans="4:4" ht="25.05" customHeight="1" x14ac:dyDescent="0.3">
      <c r="D198" s="9"/>
    </row>
    <row r="199" spans="4:4" ht="25.05" customHeight="1" x14ac:dyDescent="0.3">
      <c r="D199" s="9"/>
    </row>
    <row r="200" spans="4:4" ht="25.05" customHeight="1" x14ac:dyDescent="0.3">
      <c r="D200" s="9"/>
    </row>
    <row r="201" spans="4:4" ht="25.05" customHeight="1" x14ac:dyDescent="0.3">
      <c r="D201" s="9"/>
    </row>
    <row r="202" spans="4:4" ht="25.05" customHeight="1" x14ac:dyDescent="0.3">
      <c r="D202" s="9"/>
    </row>
    <row r="203" spans="4:4" ht="25.05" customHeight="1" x14ac:dyDescent="0.3">
      <c r="D203" s="9"/>
    </row>
    <row r="204" spans="4:4" ht="25.05" customHeight="1" x14ac:dyDescent="0.3">
      <c r="D204" s="9"/>
    </row>
    <row r="205" spans="4:4" ht="25.05" customHeight="1" x14ac:dyDescent="0.3">
      <c r="D205" s="9"/>
    </row>
    <row r="206" spans="4:4" ht="25.05" customHeight="1" x14ac:dyDescent="0.3">
      <c r="D206" s="9"/>
    </row>
    <row r="207" spans="4:4" ht="25.05" customHeight="1" x14ac:dyDescent="0.3">
      <c r="D207" s="9"/>
    </row>
    <row r="208" spans="4:4" ht="25.05" customHeight="1" x14ac:dyDescent="0.3">
      <c r="D208" s="9"/>
    </row>
    <row r="209" spans="4:4" ht="25.05" customHeight="1" x14ac:dyDescent="0.3">
      <c r="D209" s="9"/>
    </row>
    <row r="210" spans="4:4" ht="25.05" customHeight="1" x14ac:dyDescent="0.3">
      <c r="D210" s="9"/>
    </row>
    <row r="211" spans="4:4" ht="25.05" customHeight="1" x14ac:dyDescent="0.3">
      <c r="D211" s="9"/>
    </row>
    <row r="212" spans="4:4" ht="25.05" customHeight="1" x14ac:dyDescent="0.3">
      <c r="D212" s="9"/>
    </row>
    <row r="213" spans="4:4" ht="25.05" customHeight="1" x14ac:dyDescent="0.3">
      <c r="D213" s="9"/>
    </row>
    <row r="214" spans="4:4" ht="25.05" customHeight="1" x14ac:dyDescent="0.3">
      <c r="D214" s="9"/>
    </row>
    <row r="215" spans="4:4" ht="25.05" customHeight="1" x14ac:dyDescent="0.3">
      <c r="D215" s="9"/>
    </row>
    <row r="216" spans="4:4" ht="25.05" customHeight="1" x14ac:dyDescent="0.3">
      <c r="D216" s="9"/>
    </row>
    <row r="217" spans="4:4" ht="25.05" customHeight="1" x14ac:dyDescent="0.3">
      <c r="D217" s="9"/>
    </row>
    <row r="218" spans="4:4" ht="25.05" customHeight="1" x14ac:dyDescent="0.3">
      <c r="D218" s="9"/>
    </row>
    <row r="219" spans="4:4" ht="25.05" customHeight="1" x14ac:dyDescent="0.3">
      <c r="D219" s="9"/>
    </row>
    <row r="220" spans="4:4" ht="25.05" customHeight="1" x14ac:dyDescent="0.3">
      <c r="D220" s="9"/>
    </row>
    <row r="221" spans="4:4" ht="25.05" customHeight="1" x14ac:dyDescent="0.3">
      <c r="D221" s="9"/>
    </row>
    <row r="222" spans="4:4" ht="25.05" customHeight="1" x14ac:dyDescent="0.3">
      <c r="D222" s="9"/>
    </row>
    <row r="223" spans="4:4" ht="25.05" customHeight="1" x14ac:dyDescent="0.3">
      <c r="D223" s="9"/>
    </row>
    <row r="224" spans="4:4" ht="25.05" customHeight="1" x14ac:dyDescent="0.3">
      <c r="D224" s="9"/>
    </row>
    <row r="225" spans="4:4" ht="25.05" customHeight="1" x14ac:dyDescent="0.3">
      <c r="D225" s="9"/>
    </row>
    <row r="226" spans="4:4" ht="25.05" customHeight="1" x14ac:dyDescent="0.3">
      <c r="D226" s="9"/>
    </row>
    <row r="227" spans="4:4" ht="25.05" customHeight="1" x14ac:dyDescent="0.3">
      <c r="D227" s="9"/>
    </row>
    <row r="228" spans="4:4" ht="25.05" customHeight="1" x14ac:dyDescent="0.3">
      <c r="D228" s="9"/>
    </row>
    <row r="229" spans="4:4" ht="25.05" customHeight="1" x14ac:dyDescent="0.3">
      <c r="D229" s="9"/>
    </row>
    <row r="230" spans="4:4" ht="25.05" customHeight="1" x14ac:dyDescent="0.3">
      <c r="D230" s="9"/>
    </row>
    <row r="231" spans="4:4" ht="25.05" customHeight="1" x14ac:dyDescent="0.3">
      <c r="D231" s="9"/>
    </row>
    <row r="232" spans="4:4" ht="25.05" customHeight="1" x14ac:dyDescent="0.3">
      <c r="D232" s="9"/>
    </row>
    <row r="233" spans="4:4" ht="25.05" customHeight="1" x14ac:dyDescent="0.3">
      <c r="D233" s="9"/>
    </row>
    <row r="234" spans="4:4" ht="25.05" customHeight="1" x14ac:dyDescent="0.3">
      <c r="D234" s="9"/>
    </row>
    <row r="235" spans="4:4" ht="25.05" customHeight="1" x14ac:dyDescent="0.3">
      <c r="D235" s="9"/>
    </row>
    <row r="236" spans="4:4" ht="25.05" customHeight="1" x14ac:dyDescent="0.3">
      <c r="D236" s="9"/>
    </row>
    <row r="237" spans="4:4" ht="25.05" customHeight="1" x14ac:dyDescent="0.3">
      <c r="D237" s="9"/>
    </row>
    <row r="238" spans="4:4" ht="25.05" customHeight="1" x14ac:dyDescent="0.3">
      <c r="D238" s="9"/>
    </row>
    <row r="239" spans="4:4" ht="25.05" customHeight="1" x14ac:dyDescent="0.3">
      <c r="D239" s="9"/>
    </row>
    <row r="240" spans="4:4" ht="25.05" customHeight="1" x14ac:dyDescent="0.3">
      <c r="D240" s="9"/>
    </row>
    <row r="241" spans="4:4" ht="25.05" customHeight="1" x14ac:dyDescent="0.3">
      <c r="D241" s="9"/>
    </row>
    <row r="242" spans="4:4" ht="25.05" customHeight="1" x14ac:dyDescent="0.3">
      <c r="D242" s="9"/>
    </row>
    <row r="243" spans="4:4" ht="25.05" customHeight="1" x14ac:dyDescent="0.3">
      <c r="D243" s="9"/>
    </row>
    <row r="244" spans="4:4" ht="25.05" customHeight="1" x14ac:dyDescent="0.3">
      <c r="D244" s="9"/>
    </row>
    <row r="245" spans="4:4" ht="25.05" customHeight="1" x14ac:dyDescent="0.3">
      <c r="D245" s="9"/>
    </row>
    <row r="246" spans="4:4" ht="25.05" customHeight="1" x14ac:dyDescent="0.3">
      <c r="D246" s="9"/>
    </row>
    <row r="247" spans="4:4" ht="25.05" customHeight="1" x14ac:dyDescent="0.3">
      <c r="D247" s="9"/>
    </row>
    <row r="248" spans="4:4" ht="25.05" customHeight="1" x14ac:dyDescent="0.3">
      <c r="D248" s="9"/>
    </row>
    <row r="249" spans="4:4" ht="25.05" customHeight="1" x14ac:dyDescent="0.3">
      <c r="D249" s="9"/>
    </row>
    <row r="250" spans="4:4" ht="25.05" customHeight="1" x14ac:dyDescent="0.3">
      <c r="D250" s="9"/>
    </row>
    <row r="251" spans="4:4" ht="25.05" customHeight="1" x14ac:dyDescent="0.3">
      <c r="D251" s="9"/>
    </row>
    <row r="252" spans="4:4" ht="25.05" customHeight="1" x14ac:dyDescent="0.3">
      <c r="D252" s="9"/>
    </row>
    <row r="253" spans="4:4" ht="25.05" customHeight="1" x14ac:dyDescent="0.3">
      <c r="D253" s="9"/>
    </row>
    <row r="254" spans="4:4" ht="25.05" customHeight="1" x14ac:dyDescent="0.3">
      <c r="D254" s="9"/>
    </row>
    <row r="255" spans="4:4" ht="25.05" customHeight="1" x14ac:dyDescent="0.3">
      <c r="D255" s="9"/>
    </row>
    <row r="256" spans="4:4" ht="25.05" customHeight="1" x14ac:dyDescent="0.3">
      <c r="D256" s="9"/>
    </row>
    <row r="257" spans="4:4" ht="25.05" customHeight="1" x14ac:dyDescent="0.3">
      <c r="D257" s="9"/>
    </row>
    <row r="258" spans="4:4" ht="25.05" customHeight="1" x14ac:dyDescent="0.3">
      <c r="D258" s="9"/>
    </row>
    <row r="259" spans="4:4" ht="25.05" customHeight="1" x14ac:dyDescent="0.3">
      <c r="D259" s="9"/>
    </row>
    <row r="260" spans="4:4" ht="25.05" customHeight="1" x14ac:dyDescent="0.3">
      <c r="D260" s="9"/>
    </row>
    <row r="261" spans="4:4" ht="25.05" customHeight="1" x14ac:dyDescent="0.3">
      <c r="D261" s="9"/>
    </row>
    <row r="262" spans="4:4" ht="25.05" customHeight="1" x14ac:dyDescent="0.3">
      <c r="D262" s="9"/>
    </row>
    <row r="263" spans="4:4" ht="25.05" customHeight="1" x14ac:dyDescent="0.3">
      <c r="D263" s="9"/>
    </row>
    <row r="264" spans="4:4" ht="25.05" customHeight="1" x14ac:dyDescent="0.3">
      <c r="D264" s="9"/>
    </row>
    <row r="265" spans="4:4" ht="25.05" customHeight="1" x14ac:dyDescent="0.3">
      <c r="D265" s="9"/>
    </row>
    <row r="266" spans="4:4" ht="25.05" customHeight="1" x14ac:dyDescent="0.3">
      <c r="D266" s="9"/>
    </row>
    <row r="267" spans="4:4" ht="25.05" customHeight="1" x14ac:dyDescent="0.3">
      <c r="D267" s="9"/>
    </row>
    <row r="268" spans="4:4" ht="25.05" customHeight="1" x14ac:dyDescent="0.3">
      <c r="D268" s="9"/>
    </row>
    <row r="269" spans="4:4" ht="25.05" customHeight="1" x14ac:dyDescent="0.3">
      <c r="D269" s="9"/>
    </row>
    <row r="270" spans="4:4" ht="25.05" customHeight="1" x14ac:dyDescent="0.3">
      <c r="D270" s="9"/>
    </row>
    <row r="271" spans="4:4" ht="25.05" customHeight="1" x14ac:dyDescent="0.3">
      <c r="D271" s="9"/>
    </row>
    <row r="272" spans="4:4" ht="25.05" customHeight="1" x14ac:dyDescent="0.3">
      <c r="D272" s="9"/>
    </row>
    <row r="273" spans="4:4" ht="25.05" customHeight="1" x14ac:dyDescent="0.3">
      <c r="D273" s="9"/>
    </row>
    <row r="274" spans="4:4" ht="25.05" customHeight="1" x14ac:dyDescent="0.3">
      <c r="D274" s="9"/>
    </row>
    <row r="275" spans="4:4" ht="25.05" customHeight="1" x14ac:dyDescent="0.3">
      <c r="D275" s="9"/>
    </row>
    <row r="276" spans="4:4" ht="25.05" customHeight="1" x14ac:dyDescent="0.3">
      <c r="D276" s="9"/>
    </row>
    <row r="277" spans="4:4" ht="25.05" customHeight="1" x14ac:dyDescent="0.3">
      <c r="D277" s="9"/>
    </row>
    <row r="278" spans="4:4" ht="25.05" customHeight="1" x14ac:dyDescent="0.3">
      <c r="D278" s="9"/>
    </row>
    <row r="279" spans="4:4" ht="25.05" customHeight="1" x14ac:dyDescent="0.3">
      <c r="D279" s="9"/>
    </row>
    <row r="280" spans="4:4" ht="25.05" customHeight="1" x14ac:dyDescent="0.3">
      <c r="D280" s="9"/>
    </row>
    <row r="281" spans="4:4" ht="25.05" customHeight="1" x14ac:dyDescent="0.3">
      <c r="D281" s="9"/>
    </row>
    <row r="282" spans="4:4" ht="25.05" customHeight="1" x14ac:dyDescent="0.3">
      <c r="D282" s="9"/>
    </row>
    <row r="283" spans="4:4" ht="25.05" customHeight="1" x14ac:dyDescent="0.3">
      <c r="D283" s="9"/>
    </row>
    <row r="284" spans="4:4" ht="25.05" customHeight="1" x14ac:dyDescent="0.3">
      <c r="D284" s="9"/>
    </row>
    <row r="285" spans="4:4" ht="25.05" customHeight="1" x14ac:dyDescent="0.3">
      <c r="D285" s="9"/>
    </row>
    <row r="286" spans="4:4" ht="25.05" customHeight="1" x14ac:dyDescent="0.3">
      <c r="D286" s="9"/>
    </row>
    <row r="287" spans="4:4" ht="25.05" customHeight="1" x14ac:dyDescent="0.3">
      <c r="D287" s="9"/>
    </row>
    <row r="288" spans="4:4" ht="25.05" customHeight="1" x14ac:dyDescent="0.3">
      <c r="D288" s="9"/>
    </row>
    <row r="289" spans="4:4" ht="25.05" customHeight="1" x14ac:dyDescent="0.3">
      <c r="D289" s="9"/>
    </row>
    <row r="290" spans="4:4" ht="25.05" customHeight="1" x14ac:dyDescent="0.3">
      <c r="D290" s="9"/>
    </row>
    <row r="291" spans="4:4" ht="25.05" customHeight="1" x14ac:dyDescent="0.3">
      <c r="D291" s="9"/>
    </row>
    <row r="292" spans="4:4" ht="25.05" customHeight="1" x14ac:dyDescent="0.3">
      <c r="D292" s="9"/>
    </row>
    <row r="293" spans="4:4" ht="25.05" customHeight="1" x14ac:dyDescent="0.3">
      <c r="D293" s="9"/>
    </row>
    <row r="294" spans="4:4" ht="25.05" customHeight="1" x14ac:dyDescent="0.3">
      <c r="D294" s="9"/>
    </row>
    <row r="295" spans="4:4" ht="25.05" customHeight="1" x14ac:dyDescent="0.3">
      <c r="D295" s="9"/>
    </row>
    <row r="296" spans="4:4" ht="25.05" customHeight="1" x14ac:dyDescent="0.3">
      <c r="D296" s="9"/>
    </row>
    <row r="297" spans="4:4" ht="25.05" customHeight="1" x14ac:dyDescent="0.3">
      <c r="D297" s="9"/>
    </row>
    <row r="298" spans="4:4" ht="25.05" customHeight="1" x14ac:dyDescent="0.3">
      <c r="D298" s="9"/>
    </row>
    <row r="299" spans="4:4" ht="25.05" customHeight="1" x14ac:dyDescent="0.3">
      <c r="D299" s="9"/>
    </row>
    <row r="300" spans="4:4" ht="25.05" customHeight="1" x14ac:dyDescent="0.3">
      <c r="D300" s="9"/>
    </row>
    <row r="301" spans="4:4" ht="25.05" customHeight="1" x14ac:dyDescent="0.3">
      <c r="D301" s="9"/>
    </row>
    <row r="302" spans="4:4" ht="25.05" customHeight="1" x14ac:dyDescent="0.3">
      <c r="D302" s="9"/>
    </row>
    <row r="303" spans="4:4" ht="25.05" customHeight="1" x14ac:dyDescent="0.3">
      <c r="D303" s="9"/>
    </row>
    <row r="304" spans="4:4" ht="25.05" customHeight="1" x14ac:dyDescent="0.3">
      <c r="D304" s="9"/>
    </row>
    <row r="305" spans="4:4" ht="25.05" customHeight="1" x14ac:dyDescent="0.3">
      <c r="D305" s="9"/>
    </row>
    <row r="306" spans="4:4" ht="25.05" customHeight="1" x14ac:dyDescent="0.3">
      <c r="D306" s="9"/>
    </row>
    <row r="307" spans="4:4" ht="25.05" customHeight="1" x14ac:dyDescent="0.3">
      <c r="D307" s="9"/>
    </row>
    <row r="308" spans="4:4" ht="25.05" customHeight="1" x14ac:dyDescent="0.3">
      <c r="D308" s="9"/>
    </row>
    <row r="309" spans="4:4" ht="25.05" customHeight="1" x14ac:dyDescent="0.3">
      <c r="D309" s="9"/>
    </row>
    <row r="310" spans="4:4" ht="25.05" customHeight="1" x14ac:dyDescent="0.3">
      <c r="D310" s="9"/>
    </row>
    <row r="311" spans="4:4" ht="25.05" customHeight="1" x14ac:dyDescent="0.3">
      <c r="D311" s="9"/>
    </row>
    <row r="312" spans="4:4" ht="25.05" customHeight="1" x14ac:dyDescent="0.3">
      <c r="D312" s="9"/>
    </row>
    <row r="313" spans="4:4" ht="25.05" customHeight="1" x14ac:dyDescent="0.3">
      <c r="D313" s="9"/>
    </row>
    <row r="314" spans="4:4" ht="25.05" customHeight="1" x14ac:dyDescent="0.3">
      <c r="D314" s="9"/>
    </row>
    <row r="315" spans="4:4" ht="25.05" customHeight="1" x14ac:dyDescent="0.3">
      <c r="D315" s="9"/>
    </row>
    <row r="316" spans="4:4" ht="25.05" customHeight="1" x14ac:dyDescent="0.3">
      <c r="D316" s="9"/>
    </row>
    <row r="317" spans="4:4" ht="25.05" customHeight="1" x14ac:dyDescent="0.3">
      <c r="D317" s="9"/>
    </row>
    <row r="318" spans="4:4" ht="25.05" customHeight="1" x14ac:dyDescent="0.3">
      <c r="D318" s="9"/>
    </row>
    <row r="319" spans="4:4" ht="25.05" customHeight="1" x14ac:dyDescent="0.3">
      <c r="D319" s="9"/>
    </row>
    <row r="320" spans="4:4" ht="25.05" customHeight="1" x14ac:dyDescent="0.3">
      <c r="D320" s="9"/>
    </row>
    <row r="321" spans="4:4" ht="25.05" customHeight="1" x14ac:dyDescent="0.3">
      <c r="D321" s="9"/>
    </row>
    <row r="322" spans="4:4" ht="25.05" customHeight="1" x14ac:dyDescent="0.3">
      <c r="D322" s="9"/>
    </row>
    <row r="323" spans="4:4" ht="25.05" customHeight="1" x14ac:dyDescent="0.3">
      <c r="D323" s="9"/>
    </row>
    <row r="324" spans="4:4" ht="25.05" customHeight="1" x14ac:dyDescent="0.3">
      <c r="D324" s="9"/>
    </row>
    <row r="325" spans="4:4" ht="25.05" customHeight="1" x14ac:dyDescent="0.3">
      <c r="D325" s="9"/>
    </row>
    <row r="326" spans="4:4" ht="25.05" customHeight="1" x14ac:dyDescent="0.3">
      <c r="D326" s="9"/>
    </row>
    <row r="327" spans="4:4" ht="25.05" customHeight="1" x14ac:dyDescent="0.3">
      <c r="D327" s="9"/>
    </row>
    <row r="328" spans="4:4" ht="25.05" customHeight="1" x14ac:dyDescent="0.3">
      <c r="D328" s="9"/>
    </row>
    <row r="329" spans="4:4" ht="25.05" customHeight="1" x14ac:dyDescent="0.3">
      <c r="D329" s="9"/>
    </row>
    <row r="330" spans="4:4" ht="25.05" customHeight="1" x14ac:dyDescent="0.3">
      <c r="D330" s="9"/>
    </row>
    <row r="331" spans="4:4" ht="25.05" customHeight="1" x14ac:dyDescent="0.3">
      <c r="D331" s="9"/>
    </row>
    <row r="332" spans="4:4" ht="25.05" customHeight="1" x14ac:dyDescent="0.3">
      <c r="D332" s="9"/>
    </row>
    <row r="333" spans="4:4" ht="25.05" customHeight="1" x14ac:dyDescent="0.3">
      <c r="D333" s="9"/>
    </row>
    <row r="334" spans="4:4" ht="25.05" customHeight="1" x14ac:dyDescent="0.3">
      <c r="D334" s="9"/>
    </row>
    <row r="335" spans="4:4" ht="25.05" customHeight="1" x14ac:dyDescent="0.3">
      <c r="D335" s="9"/>
    </row>
    <row r="336" spans="4:4" ht="25.05" customHeight="1" x14ac:dyDescent="0.3">
      <c r="D336" s="9"/>
    </row>
    <row r="337" spans="4:4" ht="25.05" customHeight="1" x14ac:dyDescent="0.3">
      <c r="D337" s="9"/>
    </row>
    <row r="338" spans="4:4" ht="25.05" customHeight="1" x14ac:dyDescent="0.3">
      <c r="D338" s="9"/>
    </row>
    <row r="339" spans="4:4" ht="25.05" customHeight="1" x14ac:dyDescent="0.3">
      <c r="D339" s="9"/>
    </row>
    <row r="340" spans="4:4" ht="25.05" customHeight="1" x14ac:dyDescent="0.3">
      <c r="D340" s="9"/>
    </row>
    <row r="341" spans="4:4" ht="25.05" customHeight="1" x14ac:dyDescent="0.3">
      <c r="D341" s="9"/>
    </row>
    <row r="342" spans="4:4" ht="25.05" customHeight="1" x14ac:dyDescent="0.3">
      <c r="D342" s="9"/>
    </row>
    <row r="343" spans="4:4" ht="25.05" customHeight="1" x14ac:dyDescent="0.3">
      <c r="D343" s="9"/>
    </row>
    <row r="344" spans="4:4" ht="25.05" customHeight="1" x14ac:dyDescent="0.3">
      <c r="D344" s="9"/>
    </row>
    <row r="345" spans="4:4" ht="25.05" customHeight="1" x14ac:dyDescent="0.3">
      <c r="D345" s="9"/>
    </row>
    <row r="346" spans="4:4" ht="25.05" customHeight="1" x14ac:dyDescent="0.3">
      <c r="D346" s="9"/>
    </row>
    <row r="347" spans="4:4" ht="25.05" customHeight="1" x14ac:dyDescent="0.3">
      <c r="D347" s="9"/>
    </row>
    <row r="348" spans="4:4" ht="25.05" customHeight="1" x14ac:dyDescent="0.3">
      <c r="D348" s="9"/>
    </row>
    <row r="349" spans="4:4" ht="25.05" customHeight="1" x14ac:dyDescent="0.3">
      <c r="D349" s="9"/>
    </row>
    <row r="350" spans="4:4" ht="25.05" customHeight="1" x14ac:dyDescent="0.3">
      <c r="D350" s="9"/>
    </row>
    <row r="351" spans="4:4" ht="25.05" customHeight="1" x14ac:dyDescent="0.3">
      <c r="D351" s="9"/>
    </row>
    <row r="352" spans="4:4" ht="25.05" customHeight="1" x14ac:dyDescent="0.3">
      <c r="D352" s="9"/>
    </row>
    <row r="353" spans="4:4" ht="25.05" customHeight="1" x14ac:dyDescent="0.3">
      <c r="D353" s="9"/>
    </row>
    <row r="354" spans="4:4" ht="25.05" customHeight="1" x14ac:dyDescent="0.3">
      <c r="D354" s="9"/>
    </row>
    <row r="355" spans="4:4" ht="25.05" customHeight="1" x14ac:dyDescent="0.3">
      <c r="D355" s="9"/>
    </row>
    <row r="356" spans="4:4" ht="25.05" customHeight="1" x14ac:dyDescent="0.3">
      <c r="D356" s="9"/>
    </row>
    <row r="357" spans="4:4" ht="25.05" customHeight="1" x14ac:dyDescent="0.3">
      <c r="D357" s="9"/>
    </row>
    <row r="358" spans="4:4" ht="25.05" customHeight="1" x14ac:dyDescent="0.3">
      <c r="D358" s="9"/>
    </row>
    <row r="359" spans="4:4" ht="25.05" customHeight="1" x14ac:dyDescent="0.3">
      <c r="D359" s="9"/>
    </row>
    <row r="360" spans="4:4" ht="25.05" customHeight="1" x14ac:dyDescent="0.3">
      <c r="D360" s="9"/>
    </row>
    <row r="361" spans="4:4" ht="25.05" customHeight="1" x14ac:dyDescent="0.3">
      <c r="D361" s="9"/>
    </row>
    <row r="362" spans="4:4" ht="25.05" customHeight="1" x14ac:dyDescent="0.3">
      <c r="D362" s="9"/>
    </row>
    <row r="363" spans="4:4" ht="25.05" customHeight="1" x14ac:dyDescent="0.3">
      <c r="D363" s="9"/>
    </row>
    <row r="364" spans="4:4" ht="25.05" customHeight="1" x14ac:dyDescent="0.3">
      <c r="D364" s="9"/>
    </row>
    <row r="365" spans="4:4" ht="25.05" customHeight="1" x14ac:dyDescent="0.3">
      <c r="D365" s="9"/>
    </row>
    <row r="366" spans="4:4" ht="25.05" customHeight="1" x14ac:dyDescent="0.3">
      <c r="D366" s="9"/>
    </row>
    <row r="367" spans="4:4" ht="25.05" customHeight="1" x14ac:dyDescent="0.3">
      <c r="D367" s="9"/>
    </row>
    <row r="368" spans="4:4" ht="25.05" customHeight="1" x14ac:dyDescent="0.3">
      <c r="D368" s="9"/>
    </row>
    <row r="369" spans="4:4" ht="25.05" customHeight="1" x14ac:dyDescent="0.3">
      <c r="D369" s="9"/>
    </row>
    <row r="370" spans="4:4" ht="25.05" customHeight="1" x14ac:dyDescent="0.3">
      <c r="D370" s="9"/>
    </row>
    <row r="371" spans="4:4" ht="25.05" customHeight="1" x14ac:dyDescent="0.3">
      <c r="D371" s="9"/>
    </row>
    <row r="372" spans="4:4" ht="25.05" customHeight="1" x14ac:dyDescent="0.3">
      <c r="D372" s="9"/>
    </row>
    <row r="373" spans="4:4" ht="25.05" customHeight="1" x14ac:dyDescent="0.3">
      <c r="D373" s="9"/>
    </row>
    <row r="374" spans="4:4" ht="25.05" customHeight="1" x14ac:dyDescent="0.3">
      <c r="D374" s="9"/>
    </row>
    <row r="375" spans="4:4" ht="25.05" customHeight="1" x14ac:dyDescent="0.3">
      <c r="D375" s="9"/>
    </row>
    <row r="376" spans="4:4" ht="25.05" customHeight="1" x14ac:dyDescent="0.3">
      <c r="D376" s="9"/>
    </row>
    <row r="377" spans="4:4" ht="25.05" customHeight="1" x14ac:dyDescent="0.3">
      <c r="D377" s="9"/>
    </row>
    <row r="378" spans="4:4" ht="25.05" customHeight="1" x14ac:dyDescent="0.3">
      <c r="D378" s="9"/>
    </row>
    <row r="379" spans="4:4" ht="25.05" customHeight="1" x14ac:dyDescent="0.3">
      <c r="D379" s="9"/>
    </row>
    <row r="380" spans="4:4" ht="25.05" customHeight="1" x14ac:dyDescent="0.3">
      <c r="D380" s="9"/>
    </row>
    <row r="381" spans="4:4" ht="25.05" customHeight="1" x14ac:dyDescent="0.3">
      <c r="D381" s="9"/>
    </row>
    <row r="382" spans="4:4" ht="25.05" customHeight="1" x14ac:dyDescent="0.3">
      <c r="D382" s="9"/>
    </row>
    <row r="383" spans="4:4" ht="25.05" customHeight="1" x14ac:dyDescent="0.3">
      <c r="D383" s="9"/>
    </row>
    <row r="384" spans="4:4" ht="25.05" customHeight="1" x14ac:dyDescent="0.3">
      <c r="D384" s="9"/>
    </row>
    <row r="385" spans="4:4" ht="25.05" customHeight="1" x14ac:dyDescent="0.3">
      <c r="D385" s="9"/>
    </row>
    <row r="386" spans="4:4" ht="25.05" customHeight="1" x14ac:dyDescent="0.3">
      <c r="D386" s="9"/>
    </row>
    <row r="387" spans="4:4" ht="25.05" customHeight="1" x14ac:dyDescent="0.3">
      <c r="D387" s="9"/>
    </row>
    <row r="388" spans="4:4" ht="25.05" customHeight="1" x14ac:dyDescent="0.3">
      <c r="D388" s="9"/>
    </row>
    <row r="389" spans="4:4" ht="25.05" customHeight="1" x14ac:dyDescent="0.3">
      <c r="D389" s="9"/>
    </row>
    <row r="390" spans="4:4" ht="25.05" customHeight="1" x14ac:dyDescent="0.3">
      <c r="D390" s="9"/>
    </row>
    <row r="391" spans="4:4" ht="25.05" customHeight="1" x14ac:dyDescent="0.3">
      <c r="D391" s="9"/>
    </row>
    <row r="392" spans="4:4" ht="25.05" customHeight="1" x14ac:dyDescent="0.3">
      <c r="D392" s="9"/>
    </row>
    <row r="393" spans="4:4" ht="25.05" customHeight="1" x14ac:dyDescent="0.3">
      <c r="D393" s="9"/>
    </row>
    <row r="394" spans="4:4" ht="25.05" customHeight="1" x14ac:dyDescent="0.3">
      <c r="D394" s="9"/>
    </row>
    <row r="395" spans="4:4" ht="25.05" customHeight="1" x14ac:dyDescent="0.3">
      <c r="D395" s="9"/>
    </row>
    <row r="396" spans="4:4" ht="25.05" customHeight="1" x14ac:dyDescent="0.3">
      <c r="D396" s="9"/>
    </row>
    <row r="397" spans="4:4" ht="25.05" customHeight="1" x14ac:dyDescent="0.3">
      <c r="D397" s="9"/>
    </row>
    <row r="398" spans="4:4" ht="25.05" customHeight="1" x14ac:dyDescent="0.3">
      <c r="D398" s="9"/>
    </row>
    <row r="399" spans="4:4" ht="25.05" customHeight="1" x14ac:dyDescent="0.3">
      <c r="D399" s="9"/>
    </row>
    <row r="400" spans="4:4" ht="25.05" customHeight="1" x14ac:dyDescent="0.3">
      <c r="D400" s="9"/>
    </row>
    <row r="401" spans="4:4" ht="25.05" customHeight="1" x14ac:dyDescent="0.3">
      <c r="D401" s="9"/>
    </row>
    <row r="402" spans="4:4" ht="25.05" customHeight="1" x14ac:dyDescent="0.3">
      <c r="D402" s="9"/>
    </row>
    <row r="403" spans="4:4" ht="25.05" customHeight="1" x14ac:dyDescent="0.3">
      <c r="D403" s="9"/>
    </row>
    <row r="404" spans="4:4" ht="25.05" customHeight="1" x14ac:dyDescent="0.3">
      <c r="D404" s="9"/>
    </row>
    <row r="405" spans="4:4" ht="25.05" customHeight="1" x14ac:dyDescent="0.3">
      <c r="D405" s="9"/>
    </row>
    <row r="406" spans="4:4" ht="25.05" customHeight="1" x14ac:dyDescent="0.3">
      <c r="D406" s="9"/>
    </row>
    <row r="407" spans="4:4" ht="25.05" customHeight="1" x14ac:dyDescent="0.3">
      <c r="D407" s="9"/>
    </row>
    <row r="408" spans="4:4" ht="25.05" customHeight="1" x14ac:dyDescent="0.3">
      <c r="D408" s="9"/>
    </row>
    <row r="409" spans="4:4" ht="25.05" customHeight="1" x14ac:dyDescent="0.3">
      <c r="D409" s="9"/>
    </row>
    <row r="410" spans="4:4" ht="25.05" customHeight="1" x14ac:dyDescent="0.3">
      <c r="D410" s="9"/>
    </row>
    <row r="411" spans="4:4" ht="25.05" customHeight="1" x14ac:dyDescent="0.3">
      <c r="D411" s="9"/>
    </row>
    <row r="412" spans="4:4" ht="25.05" customHeight="1" x14ac:dyDescent="0.3">
      <c r="D412" s="9"/>
    </row>
    <row r="413" spans="4:4" ht="25.05" customHeight="1" x14ac:dyDescent="0.3">
      <c r="D413" s="9"/>
    </row>
    <row r="414" spans="4:4" ht="25.05" customHeight="1" x14ac:dyDescent="0.3">
      <c r="D414" s="9"/>
    </row>
    <row r="415" spans="4:4" ht="25.05" customHeight="1" x14ac:dyDescent="0.3">
      <c r="D415" s="9"/>
    </row>
    <row r="416" spans="4:4" ht="25.05" customHeight="1" x14ac:dyDescent="0.3">
      <c r="D416" s="9"/>
    </row>
    <row r="417" spans="4:4" ht="25.05" customHeight="1" x14ac:dyDescent="0.3">
      <c r="D417" s="9"/>
    </row>
    <row r="418" spans="4:4" ht="25.05" customHeight="1" x14ac:dyDescent="0.3">
      <c r="D418" s="9"/>
    </row>
    <row r="419" spans="4:4" ht="25.05" customHeight="1" x14ac:dyDescent="0.3">
      <c r="D419" s="9"/>
    </row>
    <row r="420" spans="4:4" ht="25.05" customHeight="1" x14ac:dyDescent="0.3">
      <c r="D420" s="9"/>
    </row>
    <row r="421" spans="4:4" ht="25.05" customHeight="1" x14ac:dyDescent="0.3">
      <c r="D421" s="9"/>
    </row>
    <row r="422" spans="4:4" ht="25.05" customHeight="1" x14ac:dyDescent="0.3">
      <c r="D422" s="9"/>
    </row>
    <row r="423" spans="4:4" ht="25.05" customHeight="1" x14ac:dyDescent="0.3">
      <c r="D423" s="9"/>
    </row>
    <row r="424" spans="4:4" ht="25.05" customHeight="1" x14ac:dyDescent="0.3">
      <c r="D424" s="9"/>
    </row>
    <row r="425" spans="4:4" ht="25.05" customHeight="1" x14ac:dyDescent="0.3">
      <c r="D425" s="9"/>
    </row>
    <row r="426" spans="4:4" ht="25.05" customHeight="1" x14ac:dyDescent="0.3">
      <c r="D426" s="9"/>
    </row>
    <row r="427" spans="4:4" ht="25.05" customHeight="1" x14ac:dyDescent="0.3">
      <c r="D427" s="9"/>
    </row>
    <row r="428" spans="4:4" ht="25.05" customHeight="1" x14ac:dyDescent="0.3">
      <c r="D428" s="9"/>
    </row>
    <row r="429" spans="4:4" ht="25.05" customHeight="1" x14ac:dyDescent="0.3">
      <c r="D429" s="9"/>
    </row>
    <row r="430" spans="4:4" ht="25.05" customHeight="1" x14ac:dyDescent="0.3">
      <c r="D430" s="9"/>
    </row>
    <row r="431" spans="4:4" ht="25.05" customHeight="1" x14ac:dyDescent="0.3">
      <c r="D431" s="9"/>
    </row>
    <row r="432" spans="4:4" ht="25.05" customHeight="1" x14ac:dyDescent="0.3">
      <c r="D432" s="9"/>
    </row>
    <row r="433" spans="4:4" ht="25.05" customHeight="1" x14ac:dyDescent="0.3">
      <c r="D433" s="9"/>
    </row>
    <row r="434" spans="4:4" ht="25.05" customHeight="1" x14ac:dyDescent="0.3">
      <c r="D434" s="9"/>
    </row>
    <row r="435" spans="4:4" ht="25.05" customHeight="1" x14ac:dyDescent="0.3">
      <c r="D435" s="9"/>
    </row>
    <row r="436" spans="4:4" ht="25.05" customHeight="1" x14ac:dyDescent="0.3">
      <c r="D436" s="9"/>
    </row>
    <row r="437" spans="4:4" ht="25.05" customHeight="1" x14ac:dyDescent="0.3">
      <c r="D437" s="9"/>
    </row>
    <row r="438" spans="4:4" ht="25.05" customHeight="1" x14ac:dyDescent="0.3">
      <c r="D438" s="9"/>
    </row>
    <row r="439" spans="4:4" ht="25.05" customHeight="1" x14ac:dyDescent="0.3">
      <c r="D439" s="9"/>
    </row>
    <row r="440" spans="4:4" ht="25.05" customHeight="1" x14ac:dyDescent="0.3">
      <c r="D440" s="9"/>
    </row>
    <row r="441" spans="4:4" ht="25.05" customHeight="1" x14ac:dyDescent="0.3">
      <c r="D441" s="9"/>
    </row>
    <row r="442" spans="4:4" ht="25.05" customHeight="1" x14ac:dyDescent="0.3">
      <c r="D442" s="9"/>
    </row>
    <row r="443" spans="4:4" ht="25.05" customHeight="1" x14ac:dyDescent="0.3">
      <c r="D443" s="9"/>
    </row>
    <row r="444" spans="4:4" ht="25.05" customHeight="1" x14ac:dyDescent="0.3">
      <c r="D444" s="9"/>
    </row>
    <row r="445" spans="4:4" ht="25.05" customHeight="1" x14ac:dyDescent="0.3">
      <c r="D445" s="9"/>
    </row>
    <row r="446" spans="4:4" ht="25.05" customHeight="1" x14ac:dyDescent="0.3">
      <c r="D446" s="9"/>
    </row>
    <row r="447" spans="4:4" ht="25.05" customHeight="1" x14ac:dyDescent="0.3">
      <c r="D447" s="9"/>
    </row>
    <row r="448" spans="4:4" ht="25.05" customHeight="1" x14ac:dyDescent="0.3">
      <c r="D448" s="9"/>
    </row>
    <row r="449" spans="4:4" ht="25.05" customHeight="1" x14ac:dyDescent="0.3">
      <c r="D449" s="9"/>
    </row>
    <row r="450" spans="4:4" ht="25.05" customHeight="1" x14ac:dyDescent="0.3">
      <c r="D450" s="9"/>
    </row>
    <row r="451" spans="4:4" ht="25.05" customHeight="1" x14ac:dyDescent="0.3">
      <c r="D451" s="9"/>
    </row>
    <row r="452" spans="4:4" ht="25.05" customHeight="1" x14ac:dyDescent="0.3">
      <c r="D452" s="9"/>
    </row>
    <row r="453" spans="4:4" ht="25.05" customHeight="1" x14ac:dyDescent="0.3">
      <c r="D453" s="9"/>
    </row>
    <row r="454" spans="4:4" ht="25.05" customHeight="1" x14ac:dyDescent="0.3">
      <c r="D454" s="9"/>
    </row>
    <row r="455" spans="4:4" ht="25.05" customHeight="1" x14ac:dyDescent="0.3">
      <c r="D455" s="9"/>
    </row>
    <row r="456" spans="4:4" ht="25.05" customHeight="1" x14ac:dyDescent="0.3">
      <c r="D456" s="9"/>
    </row>
    <row r="457" spans="4:4" ht="25.05" customHeight="1" x14ac:dyDescent="0.3">
      <c r="D457" s="9"/>
    </row>
    <row r="458" spans="4:4" ht="25.05" customHeight="1" x14ac:dyDescent="0.3">
      <c r="D458" s="9"/>
    </row>
    <row r="459" spans="4:4" ht="25.05" customHeight="1" x14ac:dyDescent="0.3">
      <c r="D459" s="9"/>
    </row>
    <row r="460" spans="4:4" ht="25.05" customHeight="1" x14ac:dyDescent="0.3">
      <c r="D460" s="9"/>
    </row>
    <row r="461" spans="4:4" ht="25.05" customHeight="1" x14ac:dyDescent="0.3">
      <c r="D461" s="9"/>
    </row>
    <row r="462" spans="4:4" ht="25.05" customHeight="1" x14ac:dyDescent="0.3">
      <c r="D462" s="9"/>
    </row>
    <row r="463" spans="4:4" ht="25.05" customHeight="1" x14ac:dyDescent="0.3">
      <c r="D463" s="9"/>
    </row>
    <row r="464" spans="4:4" ht="25.05" customHeight="1" x14ac:dyDescent="0.3">
      <c r="D464" s="9"/>
    </row>
    <row r="465" spans="4:4" ht="25.05" customHeight="1" x14ac:dyDescent="0.3">
      <c r="D465" s="9"/>
    </row>
    <row r="466" spans="4:4" ht="25.05" customHeight="1" x14ac:dyDescent="0.3">
      <c r="D466" s="9"/>
    </row>
    <row r="467" spans="4:4" ht="25.05" customHeight="1" x14ac:dyDescent="0.3">
      <c r="D467" s="9"/>
    </row>
    <row r="468" spans="4:4" ht="25.05" customHeight="1" x14ac:dyDescent="0.3">
      <c r="D468" s="9"/>
    </row>
    <row r="469" spans="4:4" ht="25.05" customHeight="1" x14ac:dyDescent="0.3">
      <c r="D469" s="9"/>
    </row>
    <row r="470" spans="4:4" ht="25.05" customHeight="1" x14ac:dyDescent="0.3">
      <c r="D470" s="9"/>
    </row>
    <row r="471" spans="4:4" ht="25.05" customHeight="1" x14ac:dyDescent="0.3">
      <c r="D471" s="9"/>
    </row>
    <row r="472" spans="4:4" ht="25.05" customHeight="1" x14ac:dyDescent="0.3">
      <c r="D472" s="9"/>
    </row>
    <row r="473" spans="4:4" ht="25.05" customHeight="1" x14ac:dyDescent="0.3">
      <c r="D473" s="9"/>
    </row>
    <row r="474" spans="4:4" ht="25.05" customHeight="1" x14ac:dyDescent="0.3">
      <c r="D474" s="9"/>
    </row>
    <row r="475" spans="4:4" ht="25.05" customHeight="1" x14ac:dyDescent="0.3">
      <c r="D475" s="9"/>
    </row>
    <row r="476" spans="4:4" ht="25.05" customHeight="1" x14ac:dyDescent="0.3">
      <c r="D476" s="9"/>
    </row>
    <row r="477" spans="4:4" ht="25.05" customHeight="1" x14ac:dyDescent="0.3">
      <c r="D477" s="9"/>
    </row>
    <row r="478" spans="4:4" ht="25.05" customHeight="1" x14ac:dyDescent="0.3">
      <c r="D478" s="9"/>
    </row>
    <row r="479" spans="4:4" ht="25.05" customHeight="1" x14ac:dyDescent="0.3">
      <c r="D479" s="9"/>
    </row>
    <row r="480" spans="4:4" ht="25.05" customHeight="1" x14ac:dyDescent="0.3">
      <c r="D480" s="9"/>
    </row>
    <row r="481" spans="4:4" ht="25.05" customHeight="1" x14ac:dyDescent="0.3">
      <c r="D481" s="9"/>
    </row>
    <row r="482" spans="4:4" ht="25.05" customHeight="1" x14ac:dyDescent="0.3">
      <c r="D482" s="9"/>
    </row>
    <row r="483" spans="4:4" ht="25.05" customHeight="1" x14ac:dyDescent="0.3">
      <c r="D483" s="9"/>
    </row>
    <row r="484" spans="4:4" ht="25.05" customHeight="1" x14ac:dyDescent="0.3">
      <c r="D484" s="9"/>
    </row>
    <row r="485" spans="4:4" ht="25.05" customHeight="1" x14ac:dyDescent="0.3">
      <c r="D485" s="9"/>
    </row>
    <row r="486" spans="4:4" ht="25.05" customHeight="1" x14ac:dyDescent="0.3">
      <c r="D486" s="9"/>
    </row>
    <row r="487" spans="4:4" ht="25.05" customHeight="1" x14ac:dyDescent="0.3">
      <c r="D487" s="9"/>
    </row>
    <row r="488" spans="4:4" ht="25.05" customHeight="1" x14ac:dyDescent="0.3">
      <c r="D488" s="9"/>
    </row>
    <row r="489" spans="4:4" ht="25.05" customHeight="1" x14ac:dyDescent="0.3">
      <c r="D489" s="9"/>
    </row>
    <row r="490" spans="4:4" ht="25.05" customHeight="1" x14ac:dyDescent="0.3">
      <c r="D490" s="9"/>
    </row>
    <row r="491" spans="4:4" ht="25.05" customHeight="1" x14ac:dyDescent="0.3">
      <c r="D491" s="9"/>
    </row>
    <row r="492" spans="4:4" ht="25.05" customHeight="1" x14ac:dyDescent="0.3">
      <c r="D492" s="9"/>
    </row>
    <row r="493" spans="4:4" ht="25.05" customHeight="1" x14ac:dyDescent="0.3">
      <c r="D493" s="9"/>
    </row>
    <row r="494" spans="4:4" ht="25.05" customHeight="1" x14ac:dyDescent="0.3">
      <c r="D494" s="9"/>
    </row>
    <row r="495" spans="4:4" ht="25.05" customHeight="1" x14ac:dyDescent="0.3">
      <c r="D495" s="9"/>
    </row>
    <row r="496" spans="4:4" ht="25.05" customHeight="1" x14ac:dyDescent="0.3">
      <c r="D496" s="9"/>
    </row>
    <row r="497" spans="4:4" ht="25.05" customHeight="1" x14ac:dyDescent="0.3">
      <c r="D497" s="9"/>
    </row>
    <row r="498" spans="4:4" ht="25.05" customHeight="1" x14ac:dyDescent="0.3">
      <c r="D498" s="9"/>
    </row>
    <row r="499" spans="4:4" ht="25.05" customHeight="1" x14ac:dyDescent="0.3">
      <c r="D499" s="9"/>
    </row>
    <row r="500" spans="4:4" ht="25.05" customHeight="1" x14ac:dyDescent="0.3">
      <c r="D500" s="9"/>
    </row>
    <row r="501" spans="4:4" ht="25.05" customHeight="1" x14ac:dyDescent="0.3">
      <c r="D501" s="9"/>
    </row>
    <row r="502" spans="4:4" ht="25.05" customHeight="1" x14ac:dyDescent="0.3">
      <c r="D502" s="9"/>
    </row>
    <row r="503" spans="4:4" ht="25.05" customHeight="1" x14ac:dyDescent="0.3">
      <c r="D503" s="9"/>
    </row>
    <row r="504" spans="4:4" ht="25.05" customHeight="1" x14ac:dyDescent="0.3">
      <c r="D504" s="9"/>
    </row>
    <row r="505" spans="4:4" ht="25.05" customHeight="1" x14ac:dyDescent="0.3">
      <c r="D505" s="9"/>
    </row>
    <row r="506" spans="4:4" ht="25.05" customHeight="1" x14ac:dyDescent="0.3">
      <c r="D506" s="9"/>
    </row>
    <row r="507" spans="4:4" ht="25.05" customHeight="1" x14ac:dyDescent="0.3">
      <c r="D507" s="9"/>
    </row>
    <row r="508" spans="4:4" ht="25.05" customHeight="1" x14ac:dyDescent="0.3">
      <c r="D508" s="9"/>
    </row>
    <row r="509" spans="4:4" ht="25.05" customHeight="1" x14ac:dyDescent="0.3">
      <c r="D509" s="9"/>
    </row>
    <row r="510" spans="4:4" ht="25.05" customHeight="1" x14ac:dyDescent="0.3">
      <c r="D510" s="9"/>
    </row>
    <row r="511" spans="4:4" ht="25.05" customHeight="1" x14ac:dyDescent="0.3">
      <c r="D511" s="9"/>
    </row>
    <row r="512" spans="4:4" ht="25.05" customHeight="1" x14ac:dyDescent="0.3">
      <c r="D512" s="9"/>
    </row>
    <row r="513" spans="4:4" ht="25.05" customHeight="1" x14ac:dyDescent="0.3">
      <c r="D513" s="9"/>
    </row>
    <row r="514" spans="4:4" ht="25.05" customHeight="1" x14ac:dyDescent="0.3">
      <c r="D514" s="9"/>
    </row>
    <row r="515" spans="4:4" ht="25.05" customHeight="1" x14ac:dyDescent="0.3">
      <c r="D515" s="9"/>
    </row>
    <row r="516" spans="4:4" ht="25.05" customHeight="1" x14ac:dyDescent="0.3">
      <c r="D516" s="9"/>
    </row>
    <row r="517" spans="4:4" ht="25.05" customHeight="1" x14ac:dyDescent="0.3">
      <c r="D517" s="9"/>
    </row>
    <row r="518" spans="4:4" ht="25.05" customHeight="1" x14ac:dyDescent="0.3">
      <c r="D518" s="9"/>
    </row>
    <row r="519" spans="4:4" ht="25.05" customHeight="1" x14ac:dyDescent="0.3">
      <c r="D519" s="9"/>
    </row>
    <row r="520" spans="4:4" ht="25.05" customHeight="1" x14ac:dyDescent="0.3">
      <c r="D520" s="9"/>
    </row>
    <row r="521" spans="4:4" ht="25.05" customHeight="1" x14ac:dyDescent="0.3">
      <c r="D521" s="9"/>
    </row>
    <row r="522" spans="4:4" ht="25.05" customHeight="1" x14ac:dyDescent="0.3">
      <c r="D522" s="9"/>
    </row>
    <row r="523" spans="4:4" ht="25.05" customHeight="1" x14ac:dyDescent="0.3">
      <c r="D523" s="9"/>
    </row>
    <row r="524" spans="4:4" ht="25.05" customHeight="1" x14ac:dyDescent="0.3">
      <c r="D524" s="9"/>
    </row>
    <row r="525" spans="4:4" ht="25.05" customHeight="1" x14ac:dyDescent="0.3">
      <c r="D525" s="9"/>
    </row>
    <row r="526" spans="4:4" ht="25.05" customHeight="1" x14ac:dyDescent="0.3">
      <c r="D526" s="9"/>
    </row>
    <row r="527" spans="4:4" ht="25.05" customHeight="1" x14ac:dyDescent="0.3">
      <c r="D527" s="9"/>
    </row>
    <row r="528" spans="4:4" ht="25.05" customHeight="1" x14ac:dyDescent="0.3">
      <c r="D528" s="9"/>
    </row>
    <row r="529" spans="4:4" ht="25.05" customHeight="1" x14ac:dyDescent="0.3">
      <c r="D529" s="9"/>
    </row>
    <row r="530" spans="4:4" ht="25.05" customHeight="1" x14ac:dyDescent="0.3">
      <c r="D530" s="9"/>
    </row>
    <row r="531" spans="4:4" ht="25.05" customHeight="1" x14ac:dyDescent="0.3">
      <c r="D531" s="9"/>
    </row>
    <row r="532" spans="4:4" ht="25.05" customHeight="1" x14ac:dyDescent="0.3">
      <c r="D532" s="9"/>
    </row>
    <row r="533" spans="4:4" ht="25.05" customHeight="1" x14ac:dyDescent="0.3">
      <c r="D533" s="9"/>
    </row>
    <row r="534" spans="4:4" ht="25.05" customHeight="1" x14ac:dyDescent="0.3">
      <c r="D534" s="9"/>
    </row>
    <row r="535" spans="4:4" ht="25.05" customHeight="1" x14ac:dyDescent="0.3">
      <c r="D535" s="9"/>
    </row>
    <row r="536" spans="4:4" ht="25.05" customHeight="1" x14ac:dyDescent="0.3">
      <c r="D536" s="9"/>
    </row>
    <row r="537" spans="4:4" ht="25.05" customHeight="1" x14ac:dyDescent="0.3">
      <c r="D537" s="9"/>
    </row>
    <row r="538" spans="4:4" ht="25.05" customHeight="1" x14ac:dyDescent="0.3">
      <c r="D538" s="9"/>
    </row>
    <row r="539" spans="4:4" ht="25.05" customHeight="1" x14ac:dyDescent="0.3">
      <c r="D539" s="9"/>
    </row>
    <row r="540" spans="4:4" ht="25.05" customHeight="1" x14ac:dyDescent="0.3">
      <c r="D540" s="9"/>
    </row>
    <row r="541" spans="4:4" ht="25.05" customHeight="1" x14ac:dyDescent="0.3">
      <c r="D541" s="9"/>
    </row>
    <row r="542" spans="4:4" ht="25.05" customHeight="1" x14ac:dyDescent="0.3">
      <c r="D542" s="9"/>
    </row>
    <row r="543" spans="4:4" ht="25.05" customHeight="1" x14ac:dyDescent="0.3">
      <c r="D543" s="9"/>
    </row>
    <row r="544" spans="4:4" ht="25.05" customHeight="1" x14ac:dyDescent="0.3">
      <c r="D544" s="9"/>
    </row>
    <row r="545" spans="4:4" ht="25.05" customHeight="1" x14ac:dyDescent="0.3">
      <c r="D545" s="9"/>
    </row>
    <row r="546" spans="4:4" ht="25.05" customHeight="1" x14ac:dyDescent="0.3">
      <c r="D546" s="9"/>
    </row>
    <row r="547" spans="4:4" ht="25.05" customHeight="1" x14ac:dyDescent="0.3">
      <c r="D547" s="9"/>
    </row>
    <row r="548" spans="4:4" ht="25.05" customHeight="1" x14ac:dyDescent="0.3">
      <c r="D548" s="9"/>
    </row>
    <row r="549" spans="4:4" ht="25.05" customHeight="1" x14ac:dyDescent="0.3">
      <c r="D549" s="9"/>
    </row>
    <row r="550" spans="4:4" ht="25.05" customHeight="1" x14ac:dyDescent="0.3">
      <c r="D550" s="9"/>
    </row>
    <row r="551" spans="4:4" ht="25.05" customHeight="1" x14ac:dyDescent="0.3">
      <c r="D551" s="9"/>
    </row>
    <row r="552" spans="4:4" ht="25.05" customHeight="1" x14ac:dyDescent="0.3">
      <c r="D552" s="9"/>
    </row>
    <row r="553" spans="4:4" ht="25.05" customHeight="1" x14ac:dyDescent="0.3">
      <c r="D553" s="9"/>
    </row>
    <row r="554" spans="4:4" ht="25.05" customHeight="1" x14ac:dyDescent="0.3">
      <c r="D554" s="9"/>
    </row>
    <row r="555" spans="4:4" ht="25.05" customHeight="1" x14ac:dyDescent="0.3">
      <c r="D555" s="9"/>
    </row>
    <row r="556" spans="4:4" ht="25.05" customHeight="1" x14ac:dyDescent="0.3">
      <c r="D556" s="9"/>
    </row>
    <row r="557" spans="4:4" ht="25.05" customHeight="1" x14ac:dyDescent="0.3">
      <c r="D557" s="9"/>
    </row>
    <row r="558" spans="4:4" ht="25.05" customHeight="1" x14ac:dyDescent="0.3">
      <c r="D558" s="9"/>
    </row>
    <row r="559" spans="4:4" ht="25.05" customHeight="1" x14ac:dyDescent="0.3">
      <c r="D559" s="9"/>
    </row>
    <row r="560" spans="4:4" ht="25.05" customHeight="1" x14ac:dyDescent="0.3">
      <c r="D560" s="9"/>
    </row>
    <row r="561" spans="4:4" ht="25.05" customHeight="1" x14ac:dyDescent="0.3">
      <c r="D561" s="9"/>
    </row>
    <row r="562" spans="4:4" ht="25.05" customHeight="1" x14ac:dyDescent="0.3">
      <c r="D562" s="9"/>
    </row>
    <row r="563" spans="4:4" ht="25.05" customHeight="1" x14ac:dyDescent="0.3">
      <c r="D563" s="9"/>
    </row>
    <row r="564" spans="4:4" ht="25.05" customHeight="1" x14ac:dyDescent="0.3">
      <c r="D564" s="9"/>
    </row>
    <row r="565" spans="4:4" ht="25.05" customHeight="1" x14ac:dyDescent="0.3">
      <c r="D565" s="9"/>
    </row>
    <row r="566" spans="4:4" ht="25.05" customHeight="1" x14ac:dyDescent="0.3">
      <c r="D566" s="9"/>
    </row>
    <row r="567" spans="4:4" ht="25.05" customHeight="1" x14ac:dyDescent="0.3">
      <c r="D567" s="9"/>
    </row>
    <row r="568" spans="4:4" ht="25.05" customHeight="1" x14ac:dyDescent="0.3">
      <c r="D568" s="9"/>
    </row>
    <row r="569" spans="4:4" ht="25.05" customHeight="1" x14ac:dyDescent="0.3">
      <c r="D569" s="9"/>
    </row>
    <row r="570" spans="4:4" ht="25.05" customHeight="1" x14ac:dyDescent="0.3">
      <c r="D570" s="9"/>
    </row>
    <row r="571" spans="4:4" ht="25.05" customHeight="1" x14ac:dyDescent="0.3">
      <c r="D571" s="9"/>
    </row>
    <row r="572" spans="4:4" ht="25.05" customHeight="1" x14ac:dyDescent="0.3">
      <c r="D572" s="9"/>
    </row>
    <row r="573" spans="4:4" ht="25.05" customHeight="1" x14ac:dyDescent="0.3">
      <c r="D573" s="9"/>
    </row>
    <row r="574" spans="4:4" ht="25.05" customHeight="1" x14ac:dyDescent="0.3">
      <c r="D574" s="9"/>
    </row>
    <row r="575" spans="4:4" ht="25.05" customHeight="1" x14ac:dyDescent="0.3">
      <c r="D575" s="9"/>
    </row>
    <row r="576" spans="4:4" ht="25.05" customHeight="1" x14ac:dyDescent="0.3">
      <c r="D576" s="9"/>
    </row>
    <row r="577" spans="4:4" ht="25.05" customHeight="1" x14ac:dyDescent="0.3">
      <c r="D577" s="9"/>
    </row>
    <row r="578" spans="4:4" ht="25.05" customHeight="1" x14ac:dyDescent="0.3">
      <c r="D578" s="9"/>
    </row>
    <row r="579" spans="4:4" ht="25.05" customHeight="1" x14ac:dyDescent="0.3">
      <c r="D579" s="9"/>
    </row>
    <row r="580" spans="4:4" ht="25.05" customHeight="1" x14ac:dyDescent="0.3">
      <c r="D580" s="9"/>
    </row>
    <row r="581" spans="4:4" ht="25.05" customHeight="1" x14ac:dyDescent="0.3">
      <c r="D581" s="9"/>
    </row>
    <row r="582" spans="4:4" ht="25.05" customHeight="1" x14ac:dyDescent="0.3">
      <c r="D582" s="9"/>
    </row>
    <row r="583" spans="4:4" ht="25.05" customHeight="1" x14ac:dyDescent="0.3">
      <c r="D583" s="9"/>
    </row>
    <row r="584" spans="4:4" ht="25.05" customHeight="1" x14ac:dyDescent="0.3">
      <c r="D584" s="9"/>
    </row>
    <row r="585" spans="4:4" ht="25.05" customHeight="1" x14ac:dyDescent="0.3">
      <c r="D585" s="9"/>
    </row>
    <row r="586" spans="4:4" ht="25.05" customHeight="1" x14ac:dyDescent="0.3">
      <c r="D586" s="9"/>
    </row>
    <row r="587" spans="4:4" ht="25.05" customHeight="1" x14ac:dyDescent="0.3">
      <c r="D587" s="9"/>
    </row>
    <row r="588" spans="4:4" ht="25.05" customHeight="1" x14ac:dyDescent="0.3">
      <c r="D588" s="9"/>
    </row>
    <row r="589" spans="4:4" ht="25.05" customHeight="1" x14ac:dyDescent="0.3">
      <c r="D589" s="9"/>
    </row>
    <row r="590" spans="4:4" ht="25.05" customHeight="1" x14ac:dyDescent="0.3">
      <c r="D590" s="9"/>
    </row>
    <row r="591" spans="4:4" ht="25.05" customHeight="1" x14ac:dyDescent="0.3">
      <c r="D591" s="9"/>
    </row>
    <row r="592" spans="4:4" ht="25.05" customHeight="1" x14ac:dyDescent="0.3">
      <c r="D592" s="9"/>
    </row>
    <row r="593" spans="4:4" ht="25.05" customHeight="1" x14ac:dyDescent="0.3">
      <c r="D593" s="9"/>
    </row>
    <row r="594" spans="4:4" ht="25.05" customHeight="1" x14ac:dyDescent="0.3">
      <c r="D594" s="9"/>
    </row>
    <row r="595" spans="4:4" ht="25.05" customHeight="1" x14ac:dyDescent="0.3">
      <c r="D595" s="9"/>
    </row>
    <row r="596" spans="4:4" ht="25.05" customHeight="1" x14ac:dyDescent="0.3">
      <c r="D596" s="9"/>
    </row>
    <row r="597" spans="4:4" ht="25.05" customHeight="1" x14ac:dyDescent="0.3">
      <c r="D597" s="9"/>
    </row>
    <row r="598" spans="4:4" ht="25.05" customHeight="1" x14ac:dyDescent="0.3">
      <c r="D598" s="9"/>
    </row>
    <row r="599" spans="4:4" ht="25.05" customHeight="1" x14ac:dyDescent="0.3">
      <c r="D599" s="9"/>
    </row>
    <row r="600" spans="4:4" ht="25.05" customHeight="1" x14ac:dyDescent="0.3">
      <c r="D600" s="9"/>
    </row>
    <row r="601" spans="4:4" ht="25.05" customHeight="1" x14ac:dyDescent="0.3">
      <c r="D601" s="9"/>
    </row>
    <row r="602" spans="4:4" ht="25.05" customHeight="1" x14ac:dyDescent="0.3">
      <c r="D602" s="9"/>
    </row>
    <row r="603" spans="4:4" ht="25.05" customHeight="1" x14ac:dyDescent="0.3">
      <c r="D603" s="9"/>
    </row>
    <row r="604" spans="4:4" ht="25.05" customHeight="1" x14ac:dyDescent="0.3">
      <c r="D604" s="9"/>
    </row>
    <row r="605" spans="4:4" ht="25.05" customHeight="1" x14ac:dyDescent="0.3">
      <c r="D605" s="9"/>
    </row>
    <row r="606" spans="4:4" ht="25.05" customHeight="1" x14ac:dyDescent="0.3">
      <c r="D606" s="9"/>
    </row>
    <row r="607" spans="4:4" ht="25.05" customHeight="1" x14ac:dyDescent="0.3">
      <c r="D607" s="9"/>
    </row>
    <row r="608" spans="4:4" ht="25.05" customHeight="1" x14ac:dyDescent="0.3">
      <c r="D608" s="9"/>
    </row>
    <row r="609" spans="4:4" ht="25.05" customHeight="1" x14ac:dyDescent="0.3">
      <c r="D609" s="9"/>
    </row>
    <row r="610" spans="4:4" ht="25.05" customHeight="1" x14ac:dyDescent="0.3">
      <c r="D610" s="9"/>
    </row>
    <row r="611" spans="4:4" ht="25.05" customHeight="1" x14ac:dyDescent="0.3">
      <c r="D611" s="9"/>
    </row>
    <row r="612" spans="4:4" ht="25.05" customHeight="1" x14ac:dyDescent="0.3">
      <c r="D612" s="9"/>
    </row>
    <row r="613" spans="4:4" ht="25.05" customHeight="1" x14ac:dyDescent="0.3">
      <c r="D613" s="9"/>
    </row>
    <row r="614" spans="4:4" ht="25.05" customHeight="1" x14ac:dyDescent="0.3">
      <c r="D614" s="9"/>
    </row>
    <row r="615" spans="4:4" ht="25.05" customHeight="1" x14ac:dyDescent="0.3">
      <c r="D615" s="9"/>
    </row>
    <row r="616" spans="4:4" ht="25.05" customHeight="1" x14ac:dyDescent="0.3">
      <c r="D616" s="9"/>
    </row>
    <row r="617" spans="4:4" ht="25.05" customHeight="1" x14ac:dyDescent="0.3">
      <c r="D617" s="9"/>
    </row>
    <row r="618" spans="4:4" ht="25.05" customHeight="1" x14ac:dyDescent="0.3">
      <c r="D618" s="9"/>
    </row>
    <row r="619" spans="4:4" ht="25.05" customHeight="1" x14ac:dyDescent="0.3">
      <c r="D619" s="9"/>
    </row>
    <row r="620" spans="4:4" ht="25.05" customHeight="1" x14ac:dyDescent="0.3">
      <c r="D620" s="9"/>
    </row>
    <row r="621" spans="4:4" ht="25.05" customHeight="1" x14ac:dyDescent="0.3">
      <c r="D621" s="9"/>
    </row>
    <row r="622" spans="4:4" ht="25.05" customHeight="1" x14ac:dyDescent="0.3">
      <c r="D622" s="9"/>
    </row>
    <row r="623" spans="4:4" ht="25.05" customHeight="1" x14ac:dyDescent="0.3">
      <c r="D623" s="9"/>
    </row>
    <row r="624" spans="4:4" ht="25.05" customHeight="1" x14ac:dyDescent="0.3">
      <c r="D624" s="9"/>
    </row>
    <row r="625" spans="4:4" ht="25.05" customHeight="1" x14ac:dyDescent="0.3">
      <c r="D625" s="9"/>
    </row>
    <row r="626" spans="4:4" ht="25.05" customHeight="1" x14ac:dyDescent="0.3">
      <c r="D626" s="9"/>
    </row>
    <row r="627" spans="4:4" ht="25.05" customHeight="1" x14ac:dyDescent="0.3">
      <c r="D627" s="9"/>
    </row>
    <row r="628" spans="4:4" ht="25.05" customHeight="1" x14ac:dyDescent="0.3">
      <c r="D628" s="9"/>
    </row>
    <row r="629" spans="4:4" ht="25.05" customHeight="1" x14ac:dyDescent="0.3">
      <c r="D629" s="9"/>
    </row>
    <row r="630" spans="4:4" ht="25.05" customHeight="1" x14ac:dyDescent="0.3">
      <c r="D630" s="9"/>
    </row>
    <row r="631" spans="4:4" ht="25.05" customHeight="1" x14ac:dyDescent="0.3">
      <c r="D631" s="9"/>
    </row>
    <row r="632" spans="4:4" ht="25.05" customHeight="1" x14ac:dyDescent="0.3">
      <c r="D632" s="9"/>
    </row>
    <row r="633" spans="4:4" ht="25.05" customHeight="1" x14ac:dyDescent="0.3">
      <c r="D633" s="9"/>
    </row>
    <row r="634" spans="4:4" ht="25.05" customHeight="1" x14ac:dyDescent="0.3">
      <c r="D634" s="9"/>
    </row>
    <row r="635" spans="4:4" ht="25.05" customHeight="1" x14ac:dyDescent="0.3">
      <c r="D635" s="9"/>
    </row>
    <row r="636" spans="4:4" ht="25.05" customHeight="1" x14ac:dyDescent="0.3">
      <c r="D636" s="9"/>
    </row>
    <row r="637" spans="4:4" ht="25.05" customHeight="1" x14ac:dyDescent="0.3">
      <c r="D637" s="9"/>
    </row>
    <row r="638" spans="4:4" ht="25.05" customHeight="1" x14ac:dyDescent="0.3">
      <c r="D638" s="9"/>
    </row>
    <row r="639" spans="4:4" ht="25.05" customHeight="1" x14ac:dyDescent="0.3">
      <c r="D639" s="9"/>
    </row>
    <row r="640" spans="4:4" ht="25.05" customHeight="1" x14ac:dyDescent="0.3">
      <c r="D640" s="9"/>
    </row>
    <row r="641" spans="4:4" ht="25.05" customHeight="1" x14ac:dyDescent="0.3">
      <c r="D641" s="9"/>
    </row>
    <row r="642" spans="4:4" ht="25.05" customHeight="1" x14ac:dyDescent="0.3">
      <c r="D642" s="9"/>
    </row>
    <row r="643" spans="4:4" ht="25.05" customHeight="1" x14ac:dyDescent="0.3">
      <c r="D643" s="9"/>
    </row>
    <row r="644" spans="4:4" ht="25.05" customHeight="1" x14ac:dyDescent="0.3">
      <c r="D644" s="9"/>
    </row>
    <row r="645" spans="4:4" ht="25.05" customHeight="1" x14ac:dyDescent="0.3">
      <c r="D645" s="9"/>
    </row>
    <row r="646" spans="4:4" ht="25.05" customHeight="1" x14ac:dyDescent="0.3">
      <c r="D646" s="9"/>
    </row>
    <row r="647" spans="4:4" ht="25.05" customHeight="1" x14ac:dyDescent="0.3">
      <c r="D647" s="9"/>
    </row>
    <row r="648" spans="4:4" ht="25.05" customHeight="1" x14ac:dyDescent="0.3">
      <c r="D648" s="9"/>
    </row>
    <row r="649" spans="4:4" ht="25.05" customHeight="1" x14ac:dyDescent="0.3">
      <c r="D649" s="9"/>
    </row>
    <row r="650" spans="4:4" ht="25.05" customHeight="1" x14ac:dyDescent="0.3">
      <c r="D650" s="9"/>
    </row>
    <row r="651" spans="4:4" ht="25.05" customHeight="1" x14ac:dyDescent="0.3">
      <c r="D651" s="9"/>
    </row>
    <row r="652" spans="4:4" ht="25.05" customHeight="1" x14ac:dyDescent="0.3">
      <c r="D652" s="9"/>
    </row>
    <row r="653" spans="4:4" ht="25.05" customHeight="1" x14ac:dyDescent="0.3">
      <c r="D653" s="9"/>
    </row>
    <row r="654" spans="4:4" ht="25.05" customHeight="1" x14ac:dyDescent="0.3">
      <c r="D654" s="9"/>
    </row>
    <row r="655" spans="4:4" ht="25.05" customHeight="1" x14ac:dyDescent="0.3">
      <c r="D655" s="9"/>
    </row>
    <row r="656" spans="4:4" ht="25.05" customHeight="1" x14ac:dyDescent="0.3">
      <c r="D656" s="9"/>
    </row>
    <row r="657" spans="4:4" ht="25.05" customHeight="1" x14ac:dyDescent="0.3">
      <c r="D657" s="9"/>
    </row>
    <row r="658" spans="4:4" ht="25.05" customHeight="1" x14ac:dyDescent="0.3">
      <c r="D658" s="9"/>
    </row>
    <row r="659" spans="4:4" ht="25.05" customHeight="1" x14ac:dyDescent="0.3">
      <c r="D659" s="9"/>
    </row>
    <row r="660" spans="4:4" ht="25.05" customHeight="1" x14ac:dyDescent="0.3">
      <c r="D660" s="9"/>
    </row>
    <row r="661" spans="4:4" ht="25.05" customHeight="1" x14ac:dyDescent="0.3">
      <c r="D661" s="9"/>
    </row>
    <row r="662" spans="4:4" ht="25.05" customHeight="1" x14ac:dyDescent="0.3">
      <c r="D662" s="9"/>
    </row>
    <row r="663" spans="4:4" ht="25.05" customHeight="1" x14ac:dyDescent="0.3">
      <c r="D663" s="9"/>
    </row>
    <row r="664" spans="4:4" ht="25.05" customHeight="1" x14ac:dyDescent="0.3">
      <c r="D664" s="9"/>
    </row>
    <row r="665" spans="4:4" ht="25.05" customHeight="1" x14ac:dyDescent="0.3">
      <c r="D665" s="9"/>
    </row>
    <row r="666" spans="4:4" ht="25.05" customHeight="1" x14ac:dyDescent="0.3">
      <c r="D666" s="9"/>
    </row>
    <row r="667" spans="4:4" ht="25.05" customHeight="1" x14ac:dyDescent="0.3">
      <c r="D667" s="9"/>
    </row>
    <row r="668" spans="4:4" ht="25.05" customHeight="1" x14ac:dyDescent="0.3">
      <c r="D668" s="9"/>
    </row>
    <row r="669" spans="4:4" ht="25.05" customHeight="1" x14ac:dyDescent="0.3">
      <c r="D669" s="9"/>
    </row>
    <row r="670" spans="4:4" ht="25.05" customHeight="1" x14ac:dyDescent="0.3">
      <c r="D670" s="9"/>
    </row>
    <row r="671" spans="4:4" ht="25.05" customHeight="1" x14ac:dyDescent="0.3">
      <c r="D671" s="9"/>
    </row>
    <row r="672" spans="4:4" ht="25.05" customHeight="1" x14ac:dyDescent="0.3">
      <c r="D672" s="9"/>
    </row>
    <row r="673" spans="4:4" ht="25.05" customHeight="1" x14ac:dyDescent="0.3">
      <c r="D673" s="9"/>
    </row>
    <row r="674" spans="4:4" ht="25.05" customHeight="1" x14ac:dyDescent="0.3">
      <c r="D674" s="9"/>
    </row>
    <row r="675" spans="4:4" ht="25.05" customHeight="1" x14ac:dyDescent="0.3">
      <c r="D675" s="9"/>
    </row>
    <row r="676" spans="4:4" ht="25.05" customHeight="1" x14ac:dyDescent="0.3">
      <c r="D676" s="9"/>
    </row>
    <row r="677" spans="4:4" ht="25.05" customHeight="1" x14ac:dyDescent="0.3">
      <c r="D677" s="9"/>
    </row>
    <row r="678" spans="4:4" ht="25.05" customHeight="1" x14ac:dyDescent="0.3">
      <c r="D678" s="9"/>
    </row>
    <row r="679" spans="4:4" ht="25.05" customHeight="1" x14ac:dyDescent="0.3">
      <c r="D679" s="9"/>
    </row>
    <row r="680" spans="4:4" ht="25.05" customHeight="1" x14ac:dyDescent="0.3">
      <c r="D680" s="9"/>
    </row>
    <row r="681" spans="4:4" ht="25.05" customHeight="1" x14ac:dyDescent="0.3">
      <c r="D681" s="9"/>
    </row>
    <row r="682" spans="4:4" ht="25.05" customHeight="1" x14ac:dyDescent="0.3">
      <c r="D682" s="9"/>
    </row>
    <row r="683" spans="4:4" ht="25.05" customHeight="1" x14ac:dyDescent="0.3">
      <c r="D683" s="9"/>
    </row>
    <row r="684" spans="4:4" ht="25.05" customHeight="1" x14ac:dyDescent="0.3">
      <c r="D684" s="9"/>
    </row>
    <row r="685" spans="4:4" ht="25.05" customHeight="1" x14ac:dyDescent="0.3">
      <c r="D685" s="9"/>
    </row>
    <row r="686" spans="4:4" ht="25.05" customHeight="1" x14ac:dyDescent="0.3">
      <c r="D686" s="9"/>
    </row>
    <row r="687" spans="4:4" ht="25.05" customHeight="1" x14ac:dyDescent="0.3">
      <c r="D687" s="9"/>
    </row>
    <row r="688" spans="4:4" ht="25.05" customHeight="1" x14ac:dyDescent="0.3">
      <c r="D688" s="9"/>
    </row>
    <row r="689" spans="4:4" ht="25.05" customHeight="1" x14ac:dyDescent="0.3">
      <c r="D689" s="9"/>
    </row>
    <row r="690" spans="4:4" ht="25.05" customHeight="1" x14ac:dyDescent="0.3">
      <c r="D690" s="9"/>
    </row>
    <row r="691" spans="4:4" ht="25.05" customHeight="1" x14ac:dyDescent="0.3">
      <c r="D691" s="9"/>
    </row>
    <row r="692" spans="4:4" ht="25.05" customHeight="1" x14ac:dyDescent="0.3">
      <c r="D692" s="9"/>
    </row>
    <row r="693" spans="4:4" ht="25.05" customHeight="1" x14ac:dyDescent="0.3">
      <c r="D693" s="9"/>
    </row>
    <row r="694" spans="4:4" ht="25.05" customHeight="1" x14ac:dyDescent="0.3">
      <c r="D694" s="9"/>
    </row>
    <row r="695" spans="4:4" ht="25.05" customHeight="1" x14ac:dyDescent="0.3">
      <c r="D695" s="9"/>
    </row>
    <row r="696" spans="4:4" ht="25.05" customHeight="1" x14ac:dyDescent="0.3">
      <c r="D696" s="9"/>
    </row>
    <row r="697" spans="4:4" ht="25.05" customHeight="1" x14ac:dyDescent="0.3">
      <c r="D697" s="9"/>
    </row>
    <row r="698" spans="4:4" ht="25.05" customHeight="1" x14ac:dyDescent="0.3">
      <c r="D698" s="9"/>
    </row>
    <row r="699" spans="4:4" ht="25.05" customHeight="1" x14ac:dyDescent="0.3">
      <c r="D699" s="9"/>
    </row>
    <row r="700" spans="4:4" ht="25.05" customHeight="1" x14ac:dyDescent="0.3">
      <c r="D700" s="9"/>
    </row>
    <row r="701" spans="4:4" ht="25.05" customHeight="1" x14ac:dyDescent="0.3">
      <c r="D701" s="9"/>
    </row>
    <row r="702" spans="4:4" ht="25.05" customHeight="1" x14ac:dyDescent="0.3">
      <c r="D702" s="9"/>
    </row>
    <row r="703" spans="4:4" ht="25.05" customHeight="1" x14ac:dyDescent="0.3">
      <c r="D703" s="9"/>
    </row>
    <row r="704" spans="4:4" ht="25.05" customHeight="1" x14ac:dyDescent="0.3">
      <c r="D704" s="9"/>
    </row>
    <row r="705" spans="4:4" ht="25.05" customHeight="1" x14ac:dyDescent="0.3">
      <c r="D705" s="9"/>
    </row>
    <row r="706" spans="4:4" ht="25.05" customHeight="1" x14ac:dyDescent="0.3">
      <c r="D706" s="9"/>
    </row>
    <row r="707" spans="4:4" ht="25.05" customHeight="1" x14ac:dyDescent="0.3">
      <c r="D707" s="9"/>
    </row>
    <row r="708" spans="4:4" ht="25.05" customHeight="1" x14ac:dyDescent="0.3">
      <c r="D708" s="9"/>
    </row>
    <row r="709" spans="4:4" ht="25.05" customHeight="1" x14ac:dyDescent="0.3">
      <c r="D709" s="9"/>
    </row>
    <row r="710" spans="4:4" ht="25.05" customHeight="1" x14ac:dyDescent="0.3">
      <c r="D710" s="9"/>
    </row>
    <row r="711" spans="4:4" ht="25.05" customHeight="1" x14ac:dyDescent="0.3">
      <c r="D711" s="9"/>
    </row>
    <row r="712" spans="4:4" ht="25.05" customHeight="1" x14ac:dyDescent="0.3">
      <c r="D712" s="9"/>
    </row>
    <row r="713" spans="4:4" ht="25.05" customHeight="1" x14ac:dyDescent="0.3">
      <c r="D713" s="9"/>
    </row>
    <row r="714" spans="4:4" ht="25.05" customHeight="1" x14ac:dyDescent="0.3">
      <c r="D714" s="9"/>
    </row>
    <row r="715" spans="4:4" ht="25.05" customHeight="1" x14ac:dyDescent="0.3">
      <c r="D715" s="9"/>
    </row>
    <row r="716" spans="4:4" ht="25.05" customHeight="1" x14ac:dyDescent="0.3">
      <c r="D716" s="9"/>
    </row>
    <row r="717" spans="4:4" ht="25.05" customHeight="1" x14ac:dyDescent="0.3">
      <c r="D717" s="9"/>
    </row>
    <row r="718" spans="4:4" ht="25.05" customHeight="1" x14ac:dyDescent="0.3">
      <c r="D718" s="9"/>
    </row>
    <row r="719" spans="4:4" ht="25.05" customHeight="1" x14ac:dyDescent="0.3">
      <c r="D719" s="9"/>
    </row>
    <row r="720" spans="4:4" ht="25.05" customHeight="1" x14ac:dyDescent="0.3">
      <c r="D720" s="9"/>
    </row>
    <row r="721" spans="4:4" ht="25.05" customHeight="1" x14ac:dyDescent="0.3">
      <c r="D721" s="9"/>
    </row>
    <row r="722" spans="4:4" ht="25.05" customHeight="1" x14ac:dyDescent="0.3">
      <c r="D722" s="9"/>
    </row>
    <row r="723" spans="4:4" ht="25.05" customHeight="1" x14ac:dyDescent="0.3">
      <c r="D723" s="9"/>
    </row>
    <row r="724" spans="4:4" ht="25.05" customHeight="1" x14ac:dyDescent="0.3">
      <c r="D724" s="9"/>
    </row>
    <row r="725" spans="4:4" ht="25.05" customHeight="1" x14ac:dyDescent="0.3">
      <c r="D725" s="9"/>
    </row>
    <row r="726" spans="4:4" ht="25.05" customHeight="1" x14ac:dyDescent="0.3">
      <c r="D726" s="9"/>
    </row>
    <row r="727" spans="4:4" ht="25.05" customHeight="1" x14ac:dyDescent="0.3">
      <c r="D727" s="9"/>
    </row>
    <row r="728" spans="4:4" ht="25.05" customHeight="1" x14ac:dyDescent="0.3">
      <c r="D728" s="9"/>
    </row>
    <row r="729" spans="4:4" ht="25.05" customHeight="1" x14ac:dyDescent="0.3">
      <c r="D729" s="9"/>
    </row>
    <row r="730" spans="4:4" ht="25.05" customHeight="1" x14ac:dyDescent="0.3">
      <c r="D730" s="9"/>
    </row>
    <row r="731" spans="4:4" ht="25.05" customHeight="1" x14ac:dyDescent="0.3">
      <c r="D731" s="9"/>
    </row>
    <row r="732" spans="4:4" ht="25.05" customHeight="1" x14ac:dyDescent="0.3">
      <c r="D732" s="9"/>
    </row>
    <row r="733" spans="4:4" ht="25.05" customHeight="1" x14ac:dyDescent="0.3">
      <c r="D733" s="9"/>
    </row>
    <row r="734" spans="4:4" ht="25.05" customHeight="1" x14ac:dyDescent="0.3">
      <c r="D734" s="9"/>
    </row>
    <row r="735" spans="4:4" ht="25.05" customHeight="1" x14ac:dyDescent="0.3">
      <c r="D735" s="9"/>
    </row>
    <row r="736" spans="4:4" ht="25.05" customHeight="1" x14ac:dyDescent="0.3">
      <c r="D736" s="9"/>
    </row>
    <row r="737" spans="4:4" ht="25.05" customHeight="1" x14ac:dyDescent="0.3">
      <c r="D737" s="9"/>
    </row>
    <row r="738" spans="4:4" ht="25.05" customHeight="1" x14ac:dyDescent="0.3">
      <c r="D738" s="9"/>
    </row>
    <row r="739" spans="4:4" ht="25.05" customHeight="1" x14ac:dyDescent="0.3">
      <c r="D739" s="9"/>
    </row>
    <row r="740" spans="4:4" ht="25.05" customHeight="1" x14ac:dyDescent="0.3">
      <c r="D740" s="9"/>
    </row>
    <row r="741" spans="4:4" ht="25.05" customHeight="1" x14ac:dyDescent="0.3">
      <c r="D741" s="9"/>
    </row>
    <row r="742" spans="4:4" ht="25.05" customHeight="1" x14ac:dyDescent="0.3">
      <c r="D742" s="9"/>
    </row>
    <row r="743" spans="4:4" ht="25.05" customHeight="1" x14ac:dyDescent="0.3">
      <c r="D743" s="9"/>
    </row>
    <row r="744" spans="4:4" ht="25.05" customHeight="1" x14ac:dyDescent="0.3">
      <c r="D744" s="9"/>
    </row>
    <row r="745" spans="4:4" ht="25.05" customHeight="1" x14ac:dyDescent="0.3">
      <c r="D745" s="9"/>
    </row>
    <row r="746" spans="4:4" ht="25.05" customHeight="1" x14ac:dyDescent="0.3">
      <c r="D746" s="9"/>
    </row>
    <row r="747" spans="4:4" ht="25.05" customHeight="1" x14ac:dyDescent="0.3">
      <c r="D747" s="9"/>
    </row>
    <row r="748" spans="4:4" ht="25.05" customHeight="1" x14ac:dyDescent="0.3">
      <c r="D748" s="9"/>
    </row>
    <row r="749" spans="4:4" ht="25.05" customHeight="1" x14ac:dyDescent="0.3">
      <c r="D749" s="9"/>
    </row>
    <row r="750" spans="4:4" ht="25.05" customHeight="1" x14ac:dyDescent="0.3">
      <c r="D750" s="9"/>
    </row>
    <row r="751" spans="4:4" ht="25.05" customHeight="1" x14ac:dyDescent="0.3">
      <c r="D751" s="9"/>
    </row>
    <row r="752" spans="4:4" ht="25.05" customHeight="1" x14ac:dyDescent="0.3">
      <c r="D752" s="9"/>
    </row>
    <row r="753" spans="4:4" ht="25.05" customHeight="1" x14ac:dyDescent="0.3">
      <c r="D753" s="9"/>
    </row>
    <row r="754" spans="4:4" ht="25.05" customHeight="1" x14ac:dyDescent="0.3">
      <c r="D754" s="9"/>
    </row>
    <row r="755" spans="4:4" ht="25.05" customHeight="1" x14ac:dyDescent="0.3">
      <c r="D755" s="9"/>
    </row>
    <row r="756" spans="4:4" ht="25.05" customHeight="1" x14ac:dyDescent="0.3">
      <c r="D756" s="9"/>
    </row>
    <row r="757" spans="4:4" ht="25.05" customHeight="1" x14ac:dyDescent="0.3">
      <c r="D757" s="9"/>
    </row>
    <row r="758" spans="4:4" ht="25.05" customHeight="1" x14ac:dyDescent="0.3">
      <c r="D758" s="9"/>
    </row>
    <row r="759" spans="4:4" ht="25.05" customHeight="1" x14ac:dyDescent="0.3">
      <c r="D759" s="9"/>
    </row>
    <row r="760" spans="4:4" ht="25.05" customHeight="1" x14ac:dyDescent="0.3">
      <c r="D760" s="9"/>
    </row>
    <row r="761" spans="4:4" ht="25.05" customHeight="1" x14ac:dyDescent="0.3">
      <c r="D761" s="9"/>
    </row>
    <row r="762" spans="4:4" ht="25.05" customHeight="1" x14ac:dyDescent="0.3">
      <c r="D762" s="9"/>
    </row>
    <row r="763" spans="4:4" ht="25.05" customHeight="1" x14ac:dyDescent="0.3">
      <c r="D763" s="9"/>
    </row>
    <row r="764" spans="4:4" ht="25.05" customHeight="1" x14ac:dyDescent="0.3">
      <c r="D764" s="9"/>
    </row>
    <row r="765" spans="4:4" ht="25.05" customHeight="1" x14ac:dyDescent="0.3">
      <c r="D765" s="9"/>
    </row>
    <row r="766" spans="4:4" ht="25.05" customHeight="1" x14ac:dyDescent="0.3">
      <c r="D766" s="9"/>
    </row>
    <row r="767" spans="4:4" ht="25.05" customHeight="1" x14ac:dyDescent="0.3">
      <c r="D767" s="9"/>
    </row>
    <row r="768" spans="4:4" ht="25.05" customHeight="1" x14ac:dyDescent="0.3">
      <c r="D768" s="9"/>
    </row>
    <row r="769" spans="4:4" ht="25.05" customHeight="1" x14ac:dyDescent="0.3">
      <c r="D769" s="9"/>
    </row>
    <row r="770" spans="4:4" ht="25.05" customHeight="1" x14ac:dyDescent="0.3">
      <c r="D770" s="9"/>
    </row>
    <row r="771" spans="4:4" ht="25.05" customHeight="1" x14ac:dyDescent="0.3">
      <c r="D771" s="9"/>
    </row>
    <row r="772" spans="4:4" ht="25.05" customHeight="1" x14ac:dyDescent="0.3">
      <c r="D772" s="9"/>
    </row>
    <row r="773" spans="4:4" ht="25.05" customHeight="1" x14ac:dyDescent="0.3">
      <c r="D773" s="9"/>
    </row>
    <row r="774" spans="4:4" ht="25.05" customHeight="1" x14ac:dyDescent="0.3">
      <c r="D774" s="9"/>
    </row>
    <row r="775" spans="4:4" ht="25.05" customHeight="1" x14ac:dyDescent="0.3">
      <c r="D775" s="9"/>
    </row>
    <row r="776" spans="4:4" ht="25.05" customHeight="1" x14ac:dyDescent="0.3">
      <c r="D776" s="9"/>
    </row>
    <row r="777" spans="4:4" ht="25.05" customHeight="1" x14ac:dyDescent="0.3">
      <c r="D777" s="9"/>
    </row>
    <row r="778" spans="4:4" ht="25.05" customHeight="1" x14ac:dyDescent="0.3">
      <c r="D778" s="9"/>
    </row>
    <row r="779" spans="4:4" ht="25.05" customHeight="1" x14ac:dyDescent="0.3">
      <c r="D779" s="9"/>
    </row>
    <row r="780" spans="4:4" ht="25.05" customHeight="1" x14ac:dyDescent="0.3">
      <c r="D780" s="9"/>
    </row>
    <row r="781" spans="4:4" ht="25.05" customHeight="1" x14ac:dyDescent="0.3">
      <c r="D781" s="9"/>
    </row>
    <row r="782" spans="4:4" ht="25.05" customHeight="1" x14ac:dyDescent="0.3">
      <c r="D782" s="9"/>
    </row>
    <row r="783" spans="4:4" ht="25.05" customHeight="1" x14ac:dyDescent="0.3">
      <c r="D783" s="9"/>
    </row>
    <row r="784" spans="4:4" ht="25.05" customHeight="1" x14ac:dyDescent="0.3">
      <c r="D784" s="9"/>
    </row>
    <row r="785" spans="4:4" ht="25.05" customHeight="1" x14ac:dyDescent="0.3">
      <c r="D785" s="9"/>
    </row>
    <row r="786" spans="4:4" ht="25.05" customHeight="1" x14ac:dyDescent="0.3">
      <c r="D786" s="9"/>
    </row>
    <row r="787" spans="4:4" ht="25.05" customHeight="1" x14ac:dyDescent="0.3">
      <c r="D787" s="9"/>
    </row>
    <row r="788" spans="4:4" ht="25.05" customHeight="1" x14ac:dyDescent="0.3">
      <c r="D788" s="9"/>
    </row>
    <row r="789" spans="4:4" ht="25.05" customHeight="1" x14ac:dyDescent="0.3">
      <c r="D789" s="9"/>
    </row>
    <row r="790" spans="4:4" ht="25.05" customHeight="1" x14ac:dyDescent="0.3">
      <c r="D790" s="9"/>
    </row>
    <row r="791" spans="4:4" ht="25.05" customHeight="1" x14ac:dyDescent="0.3">
      <c r="D791" s="9"/>
    </row>
    <row r="792" spans="4:4" ht="25.05" customHeight="1" x14ac:dyDescent="0.3">
      <c r="D792" s="9"/>
    </row>
    <row r="793" spans="4:4" ht="25.05" customHeight="1" x14ac:dyDescent="0.3">
      <c r="D793" s="9"/>
    </row>
    <row r="794" spans="4:4" ht="25.05" customHeight="1" x14ac:dyDescent="0.3">
      <c r="D794" s="9"/>
    </row>
    <row r="795" spans="4:4" ht="25.05" customHeight="1" x14ac:dyDescent="0.3">
      <c r="D795" s="9"/>
    </row>
    <row r="796" spans="4:4" ht="25.05" customHeight="1" x14ac:dyDescent="0.3">
      <c r="D796" s="9"/>
    </row>
    <row r="797" spans="4:4" ht="25.05" customHeight="1" x14ac:dyDescent="0.3">
      <c r="D797" s="9"/>
    </row>
    <row r="798" spans="4:4" ht="25.05" customHeight="1" x14ac:dyDescent="0.3">
      <c r="D798" s="9"/>
    </row>
    <row r="799" spans="4:4" ht="25.05" customHeight="1" x14ac:dyDescent="0.3">
      <c r="D799" s="9"/>
    </row>
    <row r="800" spans="4:4" ht="25.05" customHeight="1" x14ac:dyDescent="0.3">
      <c r="D800" s="9"/>
    </row>
    <row r="801" spans="4:4" ht="25.05" customHeight="1" x14ac:dyDescent="0.3">
      <c r="D801" s="9"/>
    </row>
    <row r="802" spans="4:4" ht="25.05" customHeight="1" x14ac:dyDescent="0.3">
      <c r="D802" s="9"/>
    </row>
    <row r="803" spans="4:4" ht="25.05" customHeight="1" x14ac:dyDescent="0.3">
      <c r="D803" s="9"/>
    </row>
    <row r="804" spans="4:4" ht="25.05" customHeight="1" x14ac:dyDescent="0.3">
      <c r="D804" s="9"/>
    </row>
    <row r="805" spans="4:4" ht="25.05" customHeight="1" x14ac:dyDescent="0.3">
      <c r="D805" s="9"/>
    </row>
    <row r="806" spans="4:4" ht="25.05" customHeight="1" x14ac:dyDescent="0.3">
      <c r="D806" s="9"/>
    </row>
    <row r="807" spans="4:4" ht="25.05" customHeight="1" x14ac:dyDescent="0.3">
      <c r="D807" s="9"/>
    </row>
    <row r="808" spans="4:4" ht="25.05" customHeight="1" x14ac:dyDescent="0.3">
      <c r="D808" s="9"/>
    </row>
    <row r="809" spans="4:4" ht="25.05" customHeight="1" x14ac:dyDescent="0.3">
      <c r="D809" s="9"/>
    </row>
    <row r="810" spans="4:4" ht="25.05" customHeight="1" x14ac:dyDescent="0.3">
      <c r="D810" s="9"/>
    </row>
    <row r="811" spans="4:4" ht="25.05" customHeight="1" x14ac:dyDescent="0.3">
      <c r="D811" s="9"/>
    </row>
    <row r="812" spans="4:4" ht="25.05" customHeight="1" x14ac:dyDescent="0.3">
      <c r="D812" s="9"/>
    </row>
    <row r="813" spans="4:4" ht="25.05" customHeight="1" x14ac:dyDescent="0.3">
      <c r="D813" s="9"/>
    </row>
    <row r="814" spans="4:4" ht="25.05" customHeight="1" x14ac:dyDescent="0.3">
      <c r="D814" s="9"/>
    </row>
    <row r="815" spans="4:4" ht="25.05" customHeight="1" x14ac:dyDescent="0.3">
      <c r="D815" s="9"/>
    </row>
    <row r="816" spans="4:4" ht="25.05" customHeight="1" x14ac:dyDescent="0.3">
      <c r="D816" s="9"/>
    </row>
    <row r="817" spans="4:4" ht="25.05" customHeight="1" x14ac:dyDescent="0.3">
      <c r="D817" s="9"/>
    </row>
    <row r="818" spans="4:4" ht="25.05" customHeight="1" x14ac:dyDescent="0.3">
      <c r="D818" s="9"/>
    </row>
    <row r="819" spans="4:4" ht="25.05" customHeight="1" x14ac:dyDescent="0.3">
      <c r="D819" s="9"/>
    </row>
    <row r="820" spans="4:4" ht="25.05" customHeight="1" x14ac:dyDescent="0.3">
      <c r="D820" s="9"/>
    </row>
    <row r="821" spans="4:4" ht="25.05" customHeight="1" x14ac:dyDescent="0.3">
      <c r="D821" s="9"/>
    </row>
    <row r="822" spans="4:4" ht="25.05" customHeight="1" x14ac:dyDescent="0.3">
      <c r="D822" s="9"/>
    </row>
    <row r="823" spans="4:4" ht="25.05" customHeight="1" x14ac:dyDescent="0.3">
      <c r="D823" s="9"/>
    </row>
    <row r="824" spans="4:4" ht="25.05" customHeight="1" x14ac:dyDescent="0.3">
      <c r="D824" s="9"/>
    </row>
    <row r="825" spans="4:4" ht="25.05" customHeight="1" x14ac:dyDescent="0.3">
      <c r="D825" s="9"/>
    </row>
    <row r="826" spans="4:4" ht="25.05" customHeight="1" x14ac:dyDescent="0.3">
      <c r="D826" s="9"/>
    </row>
    <row r="827" spans="4:4" ht="25.05" customHeight="1" x14ac:dyDescent="0.3">
      <c r="D827" s="9"/>
    </row>
    <row r="828" spans="4:4" ht="25.05" customHeight="1" x14ac:dyDescent="0.3">
      <c r="D828" s="9"/>
    </row>
    <row r="829" spans="4:4" ht="25.05" customHeight="1" x14ac:dyDescent="0.3">
      <c r="D829" s="9"/>
    </row>
    <row r="830" spans="4:4" ht="25.05" customHeight="1" x14ac:dyDescent="0.3">
      <c r="D830" s="9"/>
    </row>
    <row r="831" spans="4:4" ht="25.05" customHeight="1" x14ac:dyDescent="0.3">
      <c r="D831" s="9"/>
    </row>
    <row r="832" spans="4:4" ht="25.05" customHeight="1" x14ac:dyDescent="0.3">
      <c r="D832" s="9"/>
    </row>
    <row r="833" spans="4:4" ht="25.05" customHeight="1" x14ac:dyDescent="0.3">
      <c r="D833" s="9"/>
    </row>
    <row r="834" spans="4:4" ht="25.05" customHeight="1" x14ac:dyDescent="0.3">
      <c r="D834" s="9"/>
    </row>
    <row r="835" spans="4:4" ht="25.05" customHeight="1" x14ac:dyDescent="0.3">
      <c r="D835" s="9"/>
    </row>
    <row r="836" spans="4:4" ht="25.05" customHeight="1" x14ac:dyDescent="0.3">
      <c r="D836" s="9"/>
    </row>
    <row r="837" spans="4:4" ht="25.05" customHeight="1" x14ac:dyDescent="0.3">
      <c r="D837" s="9"/>
    </row>
    <row r="838" spans="4:4" ht="25.05" customHeight="1" x14ac:dyDescent="0.3">
      <c r="D838" s="9"/>
    </row>
    <row r="839" spans="4:4" ht="25.05" customHeight="1" x14ac:dyDescent="0.3">
      <c r="D839" s="9"/>
    </row>
    <row r="840" spans="4:4" ht="25.05" customHeight="1" x14ac:dyDescent="0.3">
      <c r="D840" s="9"/>
    </row>
    <row r="841" spans="4:4" ht="25.05" customHeight="1" x14ac:dyDescent="0.3">
      <c r="D841" s="9"/>
    </row>
    <row r="842" spans="4:4" ht="25.05" customHeight="1" x14ac:dyDescent="0.3">
      <c r="D842" s="9"/>
    </row>
    <row r="843" spans="4:4" ht="25.05" customHeight="1" x14ac:dyDescent="0.3">
      <c r="D843" s="9"/>
    </row>
    <row r="844" spans="4:4" ht="25.05" customHeight="1" x14ac:dyDescent="0.3">
      <c r="D844" s="9"/>
    </row>
    <row r="845" spans="4:4" ht="25.05" customHeight="1" x14ac:dyDescent="0.3">
      <c r="D845" s="9"/>
    </row>
    <row r="846" spans="4:4" ht="25.05" customHeight="1" x14ac:dyDescent="0.3">
      <c r="D846" s="9"/>
    </row>
    <row r="847" spans="4:4" ht="25.05" customHeight="1" x14ac:dyDescent="0.3">
      <c r="D847" s="9"/>
    </row>
    <row r="848" spans="4:4" ht="25.05" customHeight="1" x14ac:dyDescent="0.3">
      <c r="D848" s="9"/>
    </row>
    <row r="849" spans="4:4" ht="25.05" customHeight="1" x14ac:dyDescent="0.3">
      <c r="D849" s="9"/>
    </row>
    <row r="850" spans="4:4" ht="25.05" customHeight="1" x14ac:dyDescent="0.3">
      <c r="D850" s="9"/>
    </row>
    <row r="851" spans="4:4" ht="25.05" customHeight="1" x14ac:dyDescent="0.3">
      <c r="D851" s="9"/>
    </row>
    <row r="852" spans="4:4" ht="25.05" customHeight="1" x14ac:dyDescent="0.3">
      <c r="D852" s="9"/>
    </row>
    <row r="853" spans="4:4" ht="25.05" customHeight="1" x14ac:dyDescent="0.3">
      <c r="D853" s="9"/>
    </row>
    <row r="854" spans="4:4" ht="25.05" customHeight="1" x14ac:dyDescent="0.3">
      <c r="D854" s="9"/>
    </row>
    <row r="855" spans="4:4" ht="25.05" customHeight="1" x14ac:dyDescent="0.3">
      <c r="D855" s="9"/>
    </row>
    <row r="856" spans="4:4" ht="25.05" customHeight="1" x14ac:dyDescent="0.3">
      <c r="D856" s="9"/>
    </row>
    <row r="857" spans="4:4" ht="25.05" customHeight="1" x14ac:dyDescent="0.3">
      <c r="D857" s="9"/>
    </row>
    <row r="858" spans="4:4" ht="25.05" customHeight="1" x14ac:dyDescent="0.3">
      <c r="D858" s="9"/>
    </row>
    <row r="859" spans="4:4" ht="25.05" customHeight="1" x14ac:dyDescent="0.3">
      <c r="D859" s="9"/>
    </row>
    <row r="860" spans="4:4" ht="25.05" customHeight="1" x14ac:dyDescent="0.3">
      <c r="D860" s="9"/>
    </row>
    <row r="861" spans="4:4" ht="25.05" customHeight="1" x14ac:dyDescent="0.3">
      <c r="D861" s="9"/>
    </row>
    <row r="862" spans="4:4" ht="25.05" customHeight="1" x14ac:dyDescent="0.3">
      <c r="D862" s="9"/>
    </row>
    <row r="863" spans="4:4" ht="25.05" customHeight="1" x14ac:dyDescent="0.3">
      <c r="D863" s="9"/>
    </row>
    <row r="864" spans="4:4" ht="25.05" customHeight="1" x14ac:dyDescent="0.3">
      <c r="D864" s="9"/>
    </row>
    <row r="865" spans="4:4" ht="25.05" customHeight="1" x14ac:dyDescent="0.3">
      <c r="D865" s="9"/>
    </row>
    <row r="866" spans="4:4" ht="25.05" customHeight="1" x14ac:dyDescent="0.3">
      <c r="D866" s="9"/>
    </row>
    <row r="867" spans="4:4" ht="25.05" customHeight="1" x14ac:dyDescent="0.3">
      <c r="D867" s="9"/>
    </row>
    <row r="868" spans="4:4" ht="25.05" customHeight="1" x14ac:dyDescent="0.3">
      <c r="D868" s="9"/>
    </row>
    <row r="869" spans="4:4" ht="25.05" customHeight="1" x14ac:dyDescent="0.3">
      <c r="D869" s="9"/>
    </row>
    <row r="870" spans="4:4" ht="25.05" customHeight="1" x14ac:dyDescent="0.3">
      <c r="D870" s="9"/>
    </row>
    <row r="871" spans="4:4" ht="25.05" customHeight="1" x14ac:dyDescent="0.3">
      <c r="D871" s="9"/>
    </row>
    <row r="872" spans="4:4" ht="25.05" customHeight="1" x14ac:dyDescent="0.3">
      <c r="D872" s="9"/>
    </row>
    <row r="873" spans="4:4" ht="25.05" customHeight="1" x14ac:dyDescent="0.3">
      <c r="D873" s="9"/>
    </row>
    <row r="874" spans="4:4" ht="25.05" customHeight="1" x14ac:dyDescent="0.3">
      <c r="D874" s="9"/>
    </row>
    <row r="875" spans="4:4" ht="25.05" customHeight="1" x14ac:dyDescent="0.3">
      <c r="D875" s="9"/>
    </row>
    <row r="876" spans="4:4" ht="25.05" customHeight="1" x14ac:dyDescent="0.3">
      <c r="D876" s="9"/>
    </row>
    <row r="877" spans="4:4" ht="25.05" customHeight="1" x14ac:dyDescent="0.3">
      <c r="D877" s="9"/>
    </row>
    <row r="878" spans="4:4" ht="25.05" customHeight="1" x14ac:dyDescent="0.3">
      <c r="D878" s="9"/>
    </row>
    <row r="879" spans="4:4" ht="25.05" customHeight="1" x14ac:dyDescent="0.3">
      <c r="D879" s="9"/>
    </row>
    <row r="880" spans="4:4" ht="25.05" customHeight="1" x14ac:dyDescent="0.3">
      <c r="D880" s="9"/>
    </row>
    <row r="881" spans="4:4" ht="25.05" customHeight="1" x14ac:dyDescent="0.3">
      <c r="D881" s="9"/>
    </row>
    <row r="882" spans="4:4" ht="25.05" customHeight="1" x14ac:dyDescent="0.3">
      <c r="D882" s="9"/>
    </row>
    <row r="883" spans="4:4" ht="25.05" customHeight="1" x14ac:dyDescent="0.3">
      <c r="D883" s="9"/>
    </row>
    <row r="884" spans="4:4" ht="25.05" customHeight="1" x14ac:dyDescent="0.3">
      <c r="D884" s="9"/>
    </row>
    <row r="885" spans="4:4" ht="25.05" customHeight="1" x14ac:dyDescent="0.3">
      <c r="D885" s="9"/>
    </row>
    <row r="886" spans="4:4" ht="25.05" customHeight="1" x14ac:dyDescent="0.3">
      <c r="D886" s="9"/>
    </row>
    <row r="887" spans="4:4" ht="25.05" customHeight="1" x14ac:dyDescent="0.3">
      <c r="D887" s="9"/>
    </row>
    <row r="888" spans="4:4" ht="25.05" customHeight="1" x14ac:dyDescent="0.3">
      <c r="D888" s="9"/>
    </row>
    <row r="889" spans="4:4" ht="25.05" customHeight="1" x14ac:dyDescent="0.3">
      <c r="D889" s="9"/>
    </row>
    <row r="890" spans="4:4" ht="25.05" customHeight="1" x14ac:dyDescent="0.3">
      <c r="D890" s="9"/>
    </row>
    <row r="891" spans="4:4" ht="25.05" customHeight="1" x14ac:dyDescent="0.3">
      <c r="D891" s="9"/>
    </row>
    <row r="892" spans="4:4" ht="25.05" customHeight="1" x14ac:dyDescent="0.3">
      <c r="D892" s="9"/>
    </row>
    <row r="893" spans="4:4" ht="25.05" customHeight="1" x14ac:dyDescent="0.3">
      <c r="D893" s="9"/>
    </row>
    <row r="894" spans="4:4" ht="25.05" customHeight="1" x14ac:dyDescent="0.3">
      <c r="D894" s="9"/>
    </row>
    <row r="895" spans="4:4" ht="25.05" customHeight="1" x14ac:dyDescent="0.3">
      <c r="D895" s="9"/>
    </row>
    <row r="896" spans="4:4" ht="25.05" customHeight="1" x14ac:dyDescent="0.3">
      <c r="D896" s="9"/>
    </row>
    <row r="897" spans="4:4" ht="25.05" customHeight="1" x14ac:dyDescent="0.3">
      <c r="D897" s="9"/>
    </row>
    <row r="898" spans="4:4" ht="25.05" customHeight="1" x14ac:dyDescent="0.3">
      <c r="D898" s="9"/>
    </row>
    <row r="899" spans="4:4" ht="25.05" customHeight="1" x14ac:dyDescent="0.3">
      <c r="D899" s="9"/>
    </row>
    <row r="900" spans="4:4" ht="25.05" customHeight="1" x14ac:dyDescent="0.3">
      <c r="D900" s="9"/>
    </row>
    <row r="901" spans="4:4" ht="25.05" customHeight="1" x14ac:dyDescent="0.3">
      <c r="D901" s="9"/>
    </row>
    <row r="902" spans="4:4" ht="25.05" customHeight="1" x14ac:dyDescent="0.3">
      <c r="D902" s="9"/>
    </row>
    <row r="903" spans="4:4" ht="25.05" customHeight="1" x14ac:dyDescent="0.3">
      <c r="D903" s="9"/>
    </row>
    <row r="904" spans="4:4" ht="25.05" customHeight="1" x14ac:dyDescent="0.3">
      <c r="D904" s="9"/>
    </row>
    <row r="905" spans="4:4" ht="25.05" customHeight="1" x14ac:dyDescent="0.3">
      <c r="D905" s="9"/>
    </row>
    <row r="906" spans="4:4" ht="25.05" customHeight="1" x14ac:dyDescent="0.3">
      <c r="D906" s="9"/>
    </row>
    <row r="907" spans="4:4" ht="25.05" customHeight="1" x14ac:dyDescent="0.3">
      <c r="D907" s="9"/>
    </row>
    <row r="908" spans="4:4" ht="25.05" customHeight="1" x14ac:dyDescent="0.3">
      <c r="D908" s="9"/>
    </row>
    <row r="909" spans="4:4" ht="25.05" customHeight="1" x14ac:dyDescent="0.3">
      <c r="D909" s="9"/>
    </row>
    <row r="910" spans="4:4" ht="25.05" customHeight="1" x14ac:dyDescent="0.3">
      <c r="D910" s="9"/>
    </row>
    <row r="911" spans="4:4" ht="25.05" customHeight="1" x14ac:dyDescent="0.3">
      <c r="D911" s="9"/>
    </row>
    <row r="912" spans="4:4" ht="25.05" customHeight="1" x14ac:dyDescent="0.3">
      <c r="D912" s="9"/>
    </row>
    <row r="913" spans="4:4" ht="25.05" customHeight="1" x14ac:dyDescent="0.3">
      <c r="D913" s="9"/>
    </row>
    <row r="914" spans="4:4" ht="25.05" customHeight="1" x14ac:dyDescent="0.3">
      <c r="D914" s="9"/>
    </row>
    <row r="915" spans="4:4" ht="25.05" customHeight="1" x14ac:dyDescent="0.3">
      <c r="D915" s="9"/>
    </row>
    <row r="916" spans="4:4" ht="25.05" customHeight="1" x14ac:dyDescent="0.3">
      <c r="D916" s="9"/>
    </row>
    <row r="917" spans="4:4" ht="25.05" customHeight="1" x14ac:dyDescent="0.3">
      <c r="D917" s="9"/>
    </row>
    <row r="918" spans="4:4" ht="25.05" customHeight="1" x14ac:dyDescent="0.3">
      <c r="D918" s="9"/>
    </row>
    <row r="919" spans="4:4" ht="25.05" customHeight="1" x14ac:dyDescent="0.3">
      <c r="D919" s="9"/>
    </row>
    <row r="920" spans="4:4" ht="25.05" customHeight="1" x14ac:dyDescent="0.3">
      <c r="D920" s="9"/>
    </row>
    <row r="921" spans="4:4" ht="25.05" customHeight="1" x14ac:dyDescent="0.3">
      <c r="D921" s="9"/>
    </row>
    <row r="922" spans="4:4" ht="25.05" customHeight="1" x14ac:dyDescent="0.3">
      <c r="D922" s="9"/>
    </row>
    <row r="923" spans="4:4" ht="25.05" customHeight="1" x14ac:dyDescent="0.3">
      <c r="D923" s="9"/>
    </row>
    <row r="924" spans="4:4" ht="25.05" customHeight="1" x14ac:dyDescent="0.3">
      <c r="D924" s="9"/>
    </row>
    <row r="925" spans="4:4" ht="25.05" customHeight="1" x14ac:dyDescent="0.3">
      <c r="D925" s="9"/>
    </row>
    <row r="926" spans="4:4" ht="25.05" customHeight="1" x14ac:dyDescent="0.3">
      <c r="D926" s="9"/>
    </row>
    <row r="927" spans="4:4" ht="25.05" customHeight="1" x14ac:dyDescent="0.3">
      <c r="D927" s="9"/>
    </row>
    <row r="928" spans="4:4" ht="25.05" customHeight="1" x14ac:dyDescent="0.3">
      <c r="D928" s="9"/>
    </row>
    <row r="929" spans="4:4" ht="25.05" customHeight="1" x14ac:dyDescent="0.3">
      <c r="D929" s="9"/>
    </row>
    <row r="930" spans="4:4" ht="25.05" customHeight="1" x14ac:dyDescent="0.3">
      <c r="D930" s="9"/>
    </row>
    <row r="931" spans="4:4" ht="25.05" customHeight="1" x14ac:dyDescent="0.3">
      <c r="D931" s="9"/>
    </row>
    <row r="932" spans="4:4" ht="25.05" customHeight="1" x14ac:dyDescent="0.3">
      <c r="D932" s="9"/>
    </row>
    <row r="933" spans="4:4" ht="25.05" customHeight="1" x14ac:dyDescent="0.3">
      <c r="D933" s="9"/>
    </row>
    <row r="934" spans="4:4" ht="25.05" customHeight="1" x14ac:dyDescent="0.3">
      <c r="D934" s="9"/>
    </row>
    <row r="935" spans="4:4" ht="25.05" customHeight="1" x14ac:dyDescent="0.3">
      <c r="D935" s="9"/>
    </row>
    <row r="936" spans="4:4" ht="25.05" customHeight="1" x14ac:dyDescent="0.3">
      <c r="D936" s="9"/>
    </row>
    <row r="937" spans="4:4" ht="25.05" customHeight="1" x14ac:dyDescent="0.3">
      <c r="D937" s="9"/>
    </row>
    <row r="938" spans="4:4" ht="25.05" customHeight="1" x14ac:dyDescent="0.3">
      <c r="D938" s="9"/>
    </row>
    <row r="939" spans="4:4" ht="25.05" customHeight="1" x14ac:dyDescent="0.3">
      <c r="D939" s="9"/>
    </row>
    <row r="940" spans="4:4" ht="25.05" customHeight="1" x14ac:dyDescent="0.3">
      <c r="D940" s="9"/>
    </row>
    <row r="941" spans="4:4" ht="25.05" customHeight="1" x14ac:dyDescent="0.3">
      <c r="D941" s="9"/>
    </row>
    <row r="942" spans="4:4" ht="25.05" customHeight="1" x14ac:dyDescent="0.3">
      <c r="D942" s="9"/>
    </row>
    <row r="943" spans="4:4" ht="25.05" customHeight="1" x14ac:dyDescent="0.3">
      <c r="D943" s="9"/>
    </row>
    <row r="944" spans="4:4" ht="25.05" customHeight="1" x14ac:dyDescent="0.3">
      <c r="D944" s="9"/>
    </row>
    <row r="945" spans="4:4" ht="25.05" customHeight="1" x14ac:dyDescent="0.3">
      <c r="D945" s="9"/>
    </row>
    <row r="946" spans="4:4" ht="25.05" customHeight="1" x14ac:dyDescent="0.3">
      <c r="D946" s="9"/>
    </row>
    <row r="947" spans="4:4" ht="25.05" customHeight="1" x14ac:dyDescent="0.3">
      <c r="D947" s="9"/>
    </row>
    <row r="948" spans="4:4" ht="25.05" customHeight="1" x14ac:dyDescent="0.3">
      <c r="D948" s="9"/>
    </row>
    <row r="949" spans="4:4" ht="25.05" customHeight="1" x14ac:dyDescent="0.3">
      <c r="D949" s="9"/>
    </row>
    <row r="950" spans="4:4" ht="25.05" customHeight="1" x14ac:dyDescent="0.3">
      <c r="D950" s="9"/>
    </row>
    <row r="951" spans="4:4" ht="25.05" customHeight="1" x14ac:dyDescent="0.3">
      <c r="D951" s="9"/>
    </row>
    <row r="952" spans="4:4" ht="25.05" customHeight="1" x14ac:dyDescent="0.3">
      <c r="D952" s="9"/>
    </row>
    <row r="953" spans="4:4" ht="25.05" customHeight="1" x14ac:dyDescent="0.3">
      <c r="D953" s="9"/>
    </row>
    <row r="954" spans="4:4" ht="25.05" customHeight="1" x14ac:dyDescent="0.3">
      <c r="D954" s="9"/>
    </row>
    <row r="955" spans="4:4" ht="25.05" customHeight="1" x14ac:dyDescent="0.3">
      <c r="D955" s="9"/>
    </row>
    <row r="956" spans="4:4" ht="25.05" customHeight="1" x14ac:dyDescent="0.3">
      <c r="D956" s="9"/>
    </row>
    <row r="957" spans="4:4" ht="25.05" customHeight="1" x14ac:dyDescent="0.3">
      <c r="D957" s="9"/>
    </row>
    <row r="958" spans="4:4" ht="25.05" customHeight="1" x14ac:dyDescent="0.3">
      <c r="D958" s="9"/>
    </row>
    <row r="959" spans="4:4" ht="25.05" customHeight="1" x14ac:dyDescent="0.3">
      <c r="D959" s="9"/>
    </row>
    <row r="960" spans="4:4" ht="25.05" customHeight="1" x14ac:dyDescent="0.3">
      <c r="D960" s="9"/>
    </row>
    <row r="961" spans="4:4" ht="25.05" customHeight="1" x14ac:dyDescent="0.3">
      <c r="D961" s="9"/>
    </row>
    <row r="962" spans="4:4" ht="25.05" customHeight="1" x14ac:dyDescent="0.3">
      <c r="D962" s="9"/>
    </row>
    <row r="963" spans="4:4" ht="25.05" customHeight="1" x14ac:dyDescent="0.3">
      <c r="D963" s="9"/>
    </row>
    <row r="964" spans="4:4" ht="25.05" customHeight="1" x14ac:dyDescent="0.3">
      <c r="D964" s="9"/>
    </row>
    <row r="965" spans="4:4" ht="25.05" customHeight="1" x14ac:dyDescent="0.3">
      <c r="D965" s="9"/>
    </row>
    <row r="966" spans="4:4" ht="25.05" customHeight="1" x14ac:dyDescent="0.3">
      <c r="D966" s="9"/>
    </row>
    <row r="967" spans="4:4" ht="25.05" customHeight="1" x14ac:dyDescent="0.3">
      <c r="D967" s="9"/>
    </row>
    <row r="968" spans="4:4" ht="25.05" customHeight="1" x14ac:dyDescent="0.3">
      <c r="D968" s="9"/>
    </row>
    <row r="969" spans="4:4" ht="25.05" customHeight="1" x14ac:dyDescent="0.3">
      <c r="D969" s="9"/>
    </row>
    <row r="970" spans="4:4" ht="25.05" customHeight="1" x14ac:dyDescent="0.3">
      <c r="D970" s="9"/>
    </row>
    <row r="971" spans="4:4" ht="25.05" customHeight="1" x14ac:dyDescent="0.3">
      <c r="D971" s="9"/>
    </row>
    <row r="972" spans="4:4" ht="25.05" customHeight="1" x14ac:dyDescent="0.3">
      <c r="D972" s="9"/>
    </row>
    <row r="973" spans="4:4" ht="25.05" customHeight="1" x14ac:dyDescent="0.3">
      <c r="D973" s="9"/>
    </row>
    <row r="974" spans="4:4" ht="25.05" customHeight="1" x14ac:dyDescent="0.3">
      <c r="D974" s="9"/>
    </row>
    <row r="975" spans="4:4" ht="25.05" customHeight="1" x14ac:dyDescent="0.3">
      <c r="D975" s="9"/>
    </row>
    <row r="976" spans="4:4" ht="25.05" customHeight="1" x14ac:dyDescent="0.3">
      <c r="D976" s="9"/>
    </row>
    <row r="977" spans="4:4" ht="25.05" customHeight="1" x14ac:dyDescent="0.3">
      <c r="D977" s="9"/>
    </row>
    <row r="978" spans="4:4" ht="25.05" customHeight="1" x14ac:dyDescent="0.3">
      <c r="D978" s="9"/>
    </row>
    <row r="979" spans="4:4" ht="25.05" customHeight="1" x14ac:dyDescent="0.3">
      <c r="D979" s="9"/>
    </row>
    <row r="980" spans="4:4" ht="25.05" customHeight="1" x14ac:dyDescent="0.3">
      <c r="D980" s="9"/>
    </row>
    <row r="981" spans="4:4" ht="25.05" customHeight="1" x14ac:dyDescent="0.3">
      <c r="D981" s="9"/>
    </row>
    <row r="982" spans="4:4" ht="25.05" customHeight="1" x14ac:dyDescent="0.3">
      <c r="D982" s="9"/>
    </row>
    <row r="983" spans="4:4" ht="25.05" customHeight="1" x14ac:dyDescent="0.3">
      <c r="D983" s="9"/>
    </row>
    <row r="984" spans="4:4" ht="25.05" customHeight="1" x14ac:dyDescent="0.3">
      <c r="D984" s="9"/>
    </row>
    <row r="985" spans="4:4" ht="25.05" customHeight="1" x14ac:dyDescent="0.3">
      <c r="D985" s="9"/>
    </row>
    <row r="986" spans="4:4" ht="25.05" customHeight="1" x14ac:dyDescent="0.3">
      <c r="D986" s="9"/>
    </row>
    <row r="987" spans="4:4" ht="25.05" customHeight="1" x14ac:dyDescent="0.3">
      <c r="D987" s="9"/>
    </row>
    <row r="988" spans="4:4" ht="25.05" customHeight="1" x14ac:dyDescent="0.3">
      <c r="D988" s="9"/>
    </row>
    <row r="989" spans="4:4" ht="25.05" customHeight="1" x14ac:dyDescent="0.3">
      <c r="D989" s="9"/>
    </row>
    <row r="990" spans="4:4" ht="25.05" customHeight="1" x14ac:dyDescent="0.3">
      <c r="D990" s="9"/>
    </row>
    <row r="991" spans="4:4" ht="25.05" customHeight="1" x14ac:dyDescent="0.3">
      <c r="D991" s="9"/>
    </row>
    <row r="992" spans="4:4" ht="25.05" customHeight="1" x14ac:dyDescent="0.3">
      <c r="D992" s="9"/>
    </row>
    <row r="993" spans="4:4" ht="25.05" customHeight="1" x14ac:dyDescent="0.3">
      <c r="D993" s="9"/>
    </row>
    <row r="994" spans="4:4" ht="25.05" customHeight="1" x14ac:dyDescent="0.3">
      <c r="D994" s="9"/>
    </row>
    <row r="995" spans="4:4" ht="25.05" customHeight="1" x14ac:dyDescent="0.3">
      <c r="D995" s="9"/>
    </row>
    <row r="996" spans="4:4" ht="25.05" customHeight="1" x14ac:dyDescent="0.3">
      <c r="D996" s="9"/>
    </row>
    <row r="997" spans="4:4" ht="25.05" customHeight="1" x14ac:dyDescent="0.3">
      <c r="D997" s="9"/>
    </row>
    <row r="998" spans="4:4" ht="25.05" customHeight="1" x14ac:dyDescent="0.3">
      <c r="D998" s="9"/>
    </row>
    <row r="999" spans="4:4" ht="25.05" customHeight="1" x14ac:dyDescent="0.3">
      <c r="D999" s="9"/>
    </row>
    <row r="1000" spans="4:4" ht="25.05" customHeight="1" x14ac:dyDescent="0.3">
      <c r="D1000" s="9"/>
    </row>
  </sheetData>
  <autoFilter ref="A6:F6" xr:uid="{00000000-0009-0000-0000-000000000000}"/>
  <mergeCells count="3">
    <mergeCell ref="AL5:AL6"/>
    <mergeCell ref="AM5:AM6"/>
    <mergeCell ref="AN5:AN6"/>
  </mergeCells>
  <conditionalFormatting sqref="C7:C79">
    <cfRule type="expression" dxfId="0" priority="1">
      <formula>C7&gt;#REF!</formula>
    </cfRule>
  </conditionalFormatting>
  <pageMargins left="0.7" right="0.7" top="0.75" bottom="0.75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extraccion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Walter Cutiño Ledo</cp:lastModifiedBy>
  <dcterms:modified xsi:type="dcterms:W3CDTF">2026-07-14T09:08:21Z</dcterms:modified>
</cp:coreProperties>
</file>