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cion" sheetId="1" state="visible" r:id="rId1"/>
  </sheets>
  <definedNames>
    <definedName name="_xlnm._FilterDatabase" localSheetId="0" hidden="1">'extraccion'!$A$6:$F$6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Arial Black"/>
      <b val="1"/>
      <color theme="1"/>
      <sz val="11"/>
    </font>
    <font>
      <name val="Arial Black"/>
      <b val="1"/>
      <color theme="1"/>
      <sz val="7"/>
    </font>
    <font>
      <name val="Arial Black"/>
      <b val="1"/>
      <color theme="1"/>
      <sz val="8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olor theme="1"/>
      <sz val="7"/>
    </font>
    <font>
      <name val="Calibri"/>
      <family val="2"/>
      <b val="1"/>
      <color theme="1"/>
      <sz val="16"/>
      <scheme val="minor"/>
    </font>
    <font>
      <name val="Calibri"/>
      <family val="2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002855"/>
        <bgColor rgb="FF002855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1C23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10" fillId="0" borderId="3"/>
    <xf numFmtId="0" fontId="10" fillId="0" borderId="3"/>
    <xf numFmtId="0" fontId="10" fillId="0" borderId="3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3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4" fontId="1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3" applyAlignment="1" pivotButton="0" quotePrefix="0" xfId="2">
      <alignment horizontal="center" vertical="center"/>
    </xf>
    <xf numFmtId="0" fontId="11" fillId="3" borderId="3" applyAlignment="1" pivotButton="0" quotePrefix="0" xfId="2">
      <alignment horizontal="center" vertical="center"/>
    </xf>
    <xf numFmtId="4" fontId="3" fillId="5" borderId="4" applyAlignment="1" pivotButton="0" quotePrefix="0" xfId="0">
      <alignment horizontal="center" vertical="center"/>
    </xf>
    <xf numFmtId="4" fontId="1" fillId="1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2" fontId="9" fillId="8" borderId="4" applyAlignment="1" pivotButton="0" quotePrefix="0" xfId="0">
      <alignment horizontal="center" vertical="center"/>
    </xf>
    <xf numFmtId="2" fontId="9" fillId="9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0" fillId="0" borderId="7" pivotButton="0" quotePrefix="0" xfId="0"/>
    <xf numFmtId="2" fontId="6" fillId="6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6" borderId="6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129540</colOff>
      <row>0</row>
      <rowOff>0</rowOff>
    </from>
    <ext cx="510540" cy="541020"/>
    <pic>
      <nvPicPr>
        <cNvPr id="3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129540" y="0"/>
          <a:ext cx="510540" cy="54102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017"/>
  <sheetViews>
    <sheetView tabSelected="1" topLeftCell="A95" zoomScale="70" zoomScaleNormal="70" workbookViewId="0">
      <pane xSplit="6" topLeftCell="G1" activePane="topRight" state="frozen"/>
      <selection pane="topRight" activeCell="C114" sqref="C114"/>
    </sheetView>
  </sheetViews>
  <sheetFormatPr baseColWidth="10" defaultColWidth="14.44140625" defaultRowHeight="15" customHeight="1"/>
  <cols>
    <col width="10.77734375" customWidth="1" style="1" min="1" max="1"/>
    <col width="60.77734375" customWidth="1" style="1" min="2" max="2"/>
    <col width="15.77734375" customWidth="1" style="1" min="3" max="6"/>
    <col width="5.77734375" customWidth="1" style="1" min="7" max="37"/>
    <col width="25.77734375" customWidth="1" style="1" min="38" max="38"/>
    <col width="40.77734375" customWidth="1" style="1" min="39" max="39"/>
    <col width="15.77734375" customWidth="1" style="1" min="40" max="40"/>
    <col width="14.44140625" customWidth="1" style="1" min="41" max="41"/>
    <col width="14.44140625" customWidth="1" style="1" min="42" max="16384"/>
  </cols>
  <sheetData>
    <row r="1" ht="25.05" customHeight="1">
      <c r="E1" s="7" t="n"/>
      <c r="F1" s="7" t="n"/>
    </row>
    <row r="2" ht="25.05" customHeight="1">
      <c r="E2" s="7" t="n"/>
      <c r="F2" s="7" t="n"/>
    </row>
    <row r="3" ht="25.05" customHeight="1">
      <c r="E3" s="7" t="n"/>
      <c r="F3" s="7" t="n"/>
    </row>
    <row r="4" ht="25.05" customHeight="1">
      <c r="B4" s="16" t="inlineStr">
        <is>
          <t>BAR PISCINA</t>
        </is>
      </c>
      <c r="E4" s="7" t="n"/>
      <c r="F4" s="7" t="n"/>
      <c r="AN4" s="21" t="n"/>
    </row>
    <row r="5" ht="25.05" customHeight="1">
      <c r="E5" s="7" t="n"/>
      <c r="F5" s="7" t="n"/>
      <c r="G5" s="17" t="inlineStr">
        <is>
          <t>X</t>
        </is>
      </c>
      <c r="H5" s="17" t="inlineStr">
        <is>
          <t>J</t>
        </is>
      </c>
      <c r="I5" s="17" t="inlineStr">
        <is>
          <t>V</t>
        </is>
      </c>
      <c r="J5" s="18" t="inlineStr">
        <is>
          <t>S</t>
        </is>
      </c>
      <c r="K5" s="18" t="inlineStr">
        <is>
          <t>D</t>
        </is>
      </c>
      <c r="L5" s="19" t="inlineStr">
        <is>
          <t>L</t>
        </is>
      </c>
      <c r="M5" s="17" t="inlineStr">
        <is>
          <t>M</t>
        </is>
      </c>
      <c r="N5" s="17" t="inlineStr">
        <is>
          <t>X</t>
        </is>
      </c>
      <c r="O5" s="17" t="inlineStr">
        <is>
          <t>J</t>
        </is>
      </c>
      <c r="P5" s="17" t="inlineStr">
        <is>
          <t>V</t>
        </is>
      </c>
      <c r="Q5" s="18" t="inlineStr">
        <is>
          <t>S</t>
        </is>
      </c>
      <c r="R5" s="18" t="inlineStr">
        <is>
          <t>D</t>
        </is>
      </c>
      <c r="S5" s="19" t="inlineStr">
        <is>
          <t>L</t>
        </is>
      </c>
      <c r="T5" s="17" t="inlineStr">
        <is>
          <t>M</t>
        </is>
      </c>
      <c r="U5" s="17" t="inlineStr">
        <is>
          <t>X</t>
        </is>
      </c>
      <c r="V5" s="17" t="inlineStr">
        <is>
          <t>J</t>
        </is>
      </c>
      <c r="W5" s="17" t="inlineStr">
        <is>
          <t>V</t>
        </is>
      </c>
      <c r="X5" s="18" t="inlineStr">
        <is>
          <t>S</t>
        </is>
      </c>
      <c r="Y5" s="18" t="inlineStr">
        <is>
          <t>D</t>
        </is>
      </c>
      <c r="Z5" s="19" t="inlineStr">
        <is>
          <t>L</t>
        </is>
      </c>
      <c r="AA5" s="17" t="inlineStr">
        <is>
          <t>M</t>
        </is>
      </c>
      <c r="AB5" s="17" t="inlineStr">
        <is>
          <t>X</t>
        </is>
      </c>
      <c r="AC5" s="17" t="inlineStr">
        <is>
          <t>J</t>
        </is>
      </c>
      <c r="AD5" s="17" t="inlineStr">
        <is>
          <t>V</t>
        </is>
      </c>
      <c r="AE5" s="18" t="inlineStr">
        <is>
          <t>S</t>
        </is>
      </c>
      <c r="AF5" s="18" t="inlineStr">
        <is>
          <t>D</t>
        </is>
      </c>
      <c r="AG5" s="19" t="inlineStr">
        <is>
          <t>L</t>
        </is>
      </c>
      <c r="AH5" s="17" t="inlineStr">
        <is>
          <t>M</t>
        </is>
      </c>
      <c r="AI5" s="17" t="inlineStr">
        <is>
          <t>X</t>
        </is>
      </c>
      <c r="AJ5" s="17" t="inlineStr">
        <is>
          <t>J</t>
        </is>
      </c>
      <c r="AK5" s="20" t="inlineStr">
        <is>
          <t>V</t>
        </is>
      </c>
      <c r="AL5" s="28" t="inlineStr">
        <is>
          <t>EXTRACION
  MENSUAL</t>
        </is>
      </c>
      <c r="AM5" s="32" t="inlineStr">
        <is>
          <t xml:space="preserve">suma  stok inicial
+  estracion mensual   </t>
        </is>
      </c>
      <c r="AN5" s="30" t="inlineStr">
        <is>
          <t>VALOR</t>
        </is>
      </c>
    </row>
    <row r="6" ht="25.05" customHeight="1">
      <c r="A6" s="2" t="inlineStr">
        <is>
          <t>Cód.Art.</t>
        </is>
      </c>
      <c r="B6" s="2" t="inlineStr">
        <is>
          <t>Artículo</t>
        </is>
      </c>
      <c r="C6" s="4" t="inlineStr">
        <is>
          <t>Cnt.Stk.</t>
        </is>
      </c>
      <c r="D6" s="5" t="inlineStr">
        <is>
          <t>Frm.Stk.</t>
        </is>
      </c>
      <c r="E6" s="6" t="inlineStr">
        <is>
          <t>Prc.Med.EUR</t>
        </is>
      </c>
      <c r="F6" s="6" t="inlineStr">
        <is>
          <t>Total EUR</t>
        </is>
      </c>
      <c r="G6" s="17" t="n">
        <v>1</v>
      </c>
      <c r="H6" s="17" t="n">
        <v>2</v>
      </c>
      <c r="I6" s="17" t="n">
        <v>3</v>
      </c>
      <c r="J6" s="18" t="n">
        <v>4</v>
      </c>
      <c r="K6" s="18" t="n">
        <v>5</v>
      </c>
      <c r="L6" s="17" t="n">
        <v>6</v>
      </c>
      <c r="M6" s="17" t="n">
        <v>7</v>
      </c>
      <c r="N6" s="17" t="n">
        <v>8</v>
      </c>
      <c r="O6" s="17" t="n">
        <v>9</v>
      </c>
      <c r="P6" s="17" t="n">
        <v>10</v>
      </c>
      <c r="Q6" s="18" t="n">
        <v>11</v>
      </c>
      <c r="R6" s="18" t="n">
        <v>12</v>
      </c>
      <c r="S6" s="17" t="n">
        <v>13</v>
      </c>
      <c r="T6" s="17" t="n">
        <v>14</v>
      </c>
      <c r="U6" s="17" t="n">
        <v>15</v>
      </c>
      <c r="V6" s="17" t="n">
        <v>16</v>
      </c>
      <c r="W6" s="17" t="n">
        <v>17</v>
      </c>
      <c r="X6" s="18" t="n">
        <v>18</v>
      </c>
      <c r="Y6" s="18" t="n">
        <v>19</v>
      </c>
      <c r="Z6" s="17" t="n">
        <v>20</v>
      </c>
      <c r="AA6" s="17" t="n">
        <v>21</v>
      </c>
      <c r="AB6" s="17" t="n">
        <v>22</v>
      </c>
      <c r="AC6" s="17" t="n">
        <v>23</v>
      </c>
      <c r="AD6" s="17" t="n">
        <v>24</v>
      </c>
      <c r="AE6" s="18" t="n">
        <v>25</v>
      </c>
      <c r="AF6" s="18" t="n">
        <v>26</v>
      </c>
      <c r="AG6" s="17" t="n">
        <v>27</v>
      </c>
      <c r="AH6" s="17" t="n">
        <v>28</v>
      </c>
      <c r="AI6" s="17" t="n">
        <v>29</v>
      </c>
      <c r="AJ6" s="17" t="n">
        <v>30</v>
      </c>
      <c r="AK6" s="20" t="n">
        <v>31</v>
      </c>
      <c r="AL6" s="29" t="n"/>
      <c r="AM6" s="29" t="n"/>
      <c r="AN6" s="31" t="n"/>
    </row>
    <row r="7" ht="25.05" customHeight="1">
      <c r="A7" s="3" t="n">
        <v>14279</v>
      </c>
      <c r="B7" s="3" t="inlineStr">
        <is>
          <t>AZUCAR TERRON MORENO 4 GR</t>
        </is>
      </c>
      <c r="C7" s="3" t="n">
        <v>0</v>
      </c>
      <c r="D7" s="8" t="inlineStr">
        <is>
          <t>UNIDAD</t>
        </is>
      </c>
      <c r="E7" s="9" t="n">
        <v>0.0115</v>
      </c>
      <c r="F7" s="10">
        <f>C7*E7</f>
        <v/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3">
        <f>SUM(G7:AK7)</f>
        <v/>
      </c>
      <c r="AM7" s="24">
        <f>SUM(C7,AL7)</f>
        <v/>
      </c>
      <c r="AN7" s="25">
        <f>E7*AM7</f>
        <v/>
      </c>
    </row>
    <row r="8" ht="25.05" customHeight="1">
      <c r="A8" s="3" t="n">
        <v>4223</v>
      </c>
      <c r="B8" s="3" t="inlineStr">
        <is>
          <t>CHOCOLATE MAQUINA 1 KG</t>
        </is>
      </c>
      <c r="C8" s="3" t="n">
        <v>0</v>
      </c>
      <c r="D8" s="8" t="inlineStr">
        <is>
          <t>PAQUETE</t>
        </is>
      </c>
      <c r="E8" s="9" t="n">
        <v>9.369999</v>
      </c>
      <c r="F8" s="10">
        <f>C8*E8</f>
        <v/>
      </c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3">
        <f>SUM(G8:AK8)</f>
        <v/>
      </c>
      <c r="AM8" s="24">
        <f>SUM(C8,AL8)</f>
        <v/>
      </c>
      <c r="AN8" s="25">
        <f>E8*AM8</f>
        <v/>
      </c>
    </row>
    <row r="9" ht="25.05" customHeight="1">
      <c r="A9" s="3" t="n">
        <v>22779</v>
      </c>
      <c r="B9" s="3" t="inlineStr">
        <is>
          <t>HEL NESTLE ALMENDRADO C/VAINILLA 20 UD</t>
        </is>
      </c>
      <c r="C9" s="3" t="n">
        <v>0</v>
      </c>
      <c r="D9" s="8" t="inlineStr">
        <is>
          <t>UNIDAD</t>
        </is>
      </c>
      <c r="E9" s="9" t="n">
        <v>1.49427</v>
      </c>
      <c r="F9" s="10">
        <f>C9*E9</f>
        <v/>
      </c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3">
        <f>SUM(G9:AK9)</f>
        <v/>
      </c>
      <c r="AM9" s="24">
        <f>SUM(C9,AL9)</f>
        <v/>
      </c>
      <c r="AN9" s="25">
        <f>E9*AM9</f>
        <v/>
      </c>
    </row>
    <row r="10" ht="25.05" customHeight="1">
      <c r="A10" s="3" t="n">
        <v>28127</v>
      </c>
      <c r="B10" s="3" t="inlineStr">
        <is>
          <t>HEL NESTLE BOMBON NUII CHOCO BCO TEXAS PECAN</t>
        </is>
      </c>
      <c r="C10" s="3" t="n">
        <v>0</v>
      </c>
      <c r="D10" s="8" t="inlineStr">
        <is>
          <t>UNIDAD</t>
        </is>
      </c>
      <c r="E10" s="9" t="n">
        <v>1.49427</v>
      </c>
      <c r="F10" s="10">
        <f>C10*E10</f>
        <v/>
      </c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3">
        <f>SUM(G10:AK10)</f>
        <v/>
      </c>
      <c r="AM10" s="24">
        <f>SUM(C10,AL10)</f>
        <v/>
      </c>
      <c r="AN10" s="25">
        <f>E10*AM10</f>
        <v/>
      </c>
    </row>
    <row r="11" ht="25.05" customHeight="1">
      <c r="A11" s="3" t="n">
        <v>28924</v>
      </c>
      <c r="B11" s="3" t="inlineStr">
        <is>
          <t>HEL NESTLE BOMBON NUII PISTACHO</t>
        </is>
      </c>
      <c r="C11" s="3" t="n">
        <v>0</v>
      </c>
      <c r="D11" s="8" t="inlineStr">
        <is>
          <t>UNIDAD</t>
        </is>
      </c>
      <c r="E11" s="9" t="n">
        <v>1.49</v>
      </c>
      <c r="F11" s="10">
        <f>C11*E11</f>
        <v/>
      </c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3">
        <f>SUM(G11:AK11)</f>
        <v/>
      </c>
      <c r="AM11" s="24">
        <f>SUM(C11,AL11)</f>
        <v/>
      </c>
      <c r="AN11" s="25">
        <f>E11*AM11</f>
        <v/>
      </c>
    </row>
    <row r="12" ht="25.05" customHeight="1">
      <c r="A12" s="3" t="n">
        <v>23096</v>
      </c>
      <c r="B12" s="3" t="inlineStr">
        <is>
          <t>HEL NESTLE BOMBON OREO 20 UD</t>
        </is>
      </c>
      <c r="C12" s="3" t="n">
        <v>0</v>
      </c>
      <c r="D12" s="8" t="inlineStr">
        <is>
          <t>UNIDAD</t>
        </is>
      </c>
      <c r="E12" s="9" t="n">
        <v>1.37755</v>
      </c>
      <c r="F12" s="10">
        <f>C12*E12</f>
        <v/>
      </c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3">
        <f>SUM(G12:AK12)</f>
        <v/>
      </c>
      <c r="AM12" s="24">
        <f>SUM(C12,AL12)</f>
        <v/>
      </c>
      <c r="AN12" s="25">
        <f>E12*AM12</f>
        <v/>
      </c>
    </row>
    <row r="13" ht="25.05" customHeight="1">
      <c r="A13" s="3" t="n">
        <v>24964</v>
      </c>
      <c r="B13" s="3" t="inlineStr">
        <is>
          <t>HEL NESTLE CARAMELO/MACADAMIA 20 UDS</t>
        </is>
      </c>
      <c r="C13" s="3" t="n">
        <v>0</v>
      </c>
      <c r="D13" s="8" t="inlineStr">
        <is>
          <t>UNIDAD</t>
        </is>
      </c>
      <c r="E13" s="9" t="n">
        <v>1.49427</v>
      </c>
      <c r="F13" s="10">
        <f>C13*E13</f>
        <v/>
      </c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3">
        <f>SUM(G13:AK13)</f>
        <v/>
      </c>
      <c r="AM13" s="24">
        <f>SUM(C13,AL13)</f>
        <v/>
      </c>
      <c r="AN13" s="25">
        <f>E13*AM13</f>
        <v/>
      </c>
    </row>
    <row r="14" ht="25.05" customHeight="1">
      <c r="A14" s="3" t="n">
        <v>28926</v>
      </c>
      <c r="B14" s="3" t="inlineStr">
        <is>
          <t>HEL NESTLE CONO EXTREME BLUEBERRY CHEESECAKE</t>
        </is>
      </c>
      <c r="C14" s="3" t="n">
        <v>0</v>
      </c>
      <c r="D14" s="8" t="inlineStr">
        <is>
          <t>UNIDAD</t>
        </is>
      </c>
      <c r="E14" s="9" t="n">
        <v>1.39</v>
      </c>
      <c r="F14" s="10">
        <f>C14*E14</f>
        <v/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3">
        <f>SUM(G14:AK14)</f>
        <v/>
      </c>
      <c r="AM14" s="24">
        <f>SUM(C14,AL14)</f>
        <v/>
      </c>
      <c r="AN14" s="25">
        <f>E14*AM14</f>
        <v/>
      </c>
    </row>
    <row r="15" ht="25.05" customHeight="1">
      <c r="A15" s="3" t="n">
        <v>28126</v>
      </c>
      <c r="B15" s="3" t="inlineStr">
        <is>
          <t>HEL NESTLE CONO EXTREME CARAMELO SALADO</t>
        </is>
      </c>
      <c r="C15" s="3" t="n">
        <v>0</v>
      </c>
      <c r="D15" s="8" t="inlineStr">
        <is>
          <t>UNIDAD</t>
        </is>
      </c>
      <c r="E15" s="9" t="n">
        <v>1.3943</v>
      </c>
      <c r="F15" s="10">
        <f>C15*E15</f>
        <v/>
      </c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3">
        <f>SUM(G15:AK15)</f>
        <v/>
      </c>
      <c r="AM15" s="24">
        <f>SUM(C15,AL15)</f>
        <v/>
      </c>
      <c r="AN15" s="25">
        <f>E15*AM15</f>
        <v/>
      </c>
    </row>
    <row r="16" ht="25.05" customHeight="1">
      <c r="A16" s="3" t="n">
        <v>21193</v>
      </c>
      <c r="B16" s="3" t="inlineStr">
        <is>
          <t>HEL NESTLE CONO KIT KAT VAIN-CHOC 16 UDS</t>
        </is>
      </c>
      <c r="C16" s="3" t="n">
        <v>0</v>
      </c>
      <c r="D16" s="8" t="inlineStr">
        <is>
          <t>UNIDAD</t>
        </is>
      </c>
      <c r="E16" s="9" t="n">
        <v>1.52327</v>
      </c>
      <c r="F16" s="10">
        <f>C16*E16</f>
        <v/>
      </c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3">
        <f>SUM(G16:AK16)</f>
        <v/>
      </c>
      <c r="AM16" s="24">
        <f>SUM(C16,AL16)</f>
        <v/>
      </c>
      <c r="AN16" s="25">
        <f>E16*AM16</f>
        <v/>
      </c>
    </row>
    <row r="17" ht="25.05" customHeight="1">
      <c r="A17" s="3" t="n">
        <v>24963</v>
      </c>
      <c r="B17" s="3" t="inlineStr">
        <is>
          <t>HEL NESTLE CONO LIMON 16 UDS</t>
        </is>
      </c>
      <c r="C17" s="3" t="n">
        <v>0</v>
      </c>
      <c r="D17" s="8" t="inlineStr">
        <is>
          <t>UNIDAD</t>
        </is>
      </c>
      <c r="E17" s="9" t="n">
        <v>0.37255</v>
      </c>
      <c r="F17" s="10">
        <f>C17*E17</f>
        <v/>
      </c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3">
        <f>SUM(G17:AK17)</f>
        <v/>
      </c>
      <c r="AM17" s="24">
        <f>SUM(C17,AL17)</f>
        <v/>
      </c>
      <c r="AN17" s="25">
        <f>E17*AM17</f>
        <v/>
      </c>
    </row>
    <row r="18" ht="25.05" customHeight="1">
      <c r="A18" s="3" t="n">
        <v>4788</v>
      </c>
      <c r="B18" s="3" t="inlineStr">
        <is>
          <t>HEL NESTLE CONO NATA 16 UDS</t>
        </is>
      </c>
      <c r="C18" s="3" t="n">
        <v>0</v>
      </c>
      <c r="D18" s="8" t="inlineStr">
        <is>
          <t>UNIDAD</t>
        </is>
      </c>
      <c r="E18" s="9" t="n">
        <v>0.37255</v>
      </c>
      <c r="F18" s="10">
        <f>C18*E18</f>
        <v/>
      </c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3">
        <f>SUM(G18:AK18)</f>
        <v/>
      </c>
      <c r="AM18" s="24">
        <f>SUM(C18,AL18)</f>
        <v/>
      </c>
      <c r="AN18" s="25">
        <f>E18*AM18</f>
        <v/>
      </c>
    </row>
    <row r="19" ht="25.05" customHeight="1">
      <c r="A19" s="3" t="n">
        <v>26000</v>
      </c>
      <c r="B19" s="3" t="inlineStr">
        <is>
          <t>HEL NESTLE CONO OREO 20 UDS</t>
        </is>
      </c>
      <c r="C19" s="3" t="n">
        <v>0</v>
      </c>
      <c r="D19" s="8" t="inlineStr">
        <is>
          <t>UNIDAD</t>
        </is>
      </c>
      <c r="E19" s="9" t="n">
        <v>1.44554</v>
      </c>
      <c r="F19" s="10">
        <f>C19*E19</f>
        <v/>
      </c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3">
        <f>SUM(G19:AK19)</f>
        <v/>
      </c>
      <c r="AM19" s="24">
        <f>SUM(C19,AL19)</f>
        <v/>
      </c>
      <c r="AN19" s="25">
        <f>E19*AM19</f>
        <v/>
      </c>
    </row>
    <row r="20" ht="25.05" customHeight="1">
      <c r="A20" s="3" t="n">
        <v>4777</v>
      </c>
      <c r="B20" s="3" t="inlineStr">
        <is>
          <t>HEL NESTLE EXTREME 3 CHOCOLATES 16 UDS</t>
        </is>
      </c>
      <c r="C20" s="3" t="n">
        <v>0</v>
      </c>
      <c r="D20" s="8" t="inlineStr">
        <is>
          <t>UNIDAD</t>
        </is>
      </c>
      <c r="E20" s="9" t="n">
        <v>1.23086</v>
      </c>
      <c r="F20" s="10">
        <f>C20*E20</f>
        <v/>
      </c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3">
        <f>SUM(G20:AK20)</f>
        <v/>
      </c>
      <c r="AM20" s="24">
        <f>SUM(C20,AL20)</f>
        <v/>
      </c>
      <c r="AN20" s="25">
        <f>E20*AM20</f>
        <v/>
      </c>
    </row>
    <row r="21" ht="25.05" customHeight="1">
      <c r="A21" s="3" t="n">
        <v>4778</v>
      </c>
      <c r="B21" s="3" t="inlineStr">
        <is>
          <t>HEL NESTLE EXTREME SUPER NATA-FRESA 16 UDS</t>
        </is>
      </c>
      <c r="C21" s="3" t="n">
        <v>0</v>
      </c>
      <c r="D21" s="8" t="inlineStr">
        <is>
          <t>UNIDAD</t>
        </is>
      </c>
      <c r="E21" s="9" t="n">
        <v>1.23086</v>
      </c>
      <c r="F21" s="10">
        <f>C21*E21</f>
        <v/>
      </c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3">
        <f>SUM(G21:AK21)</f>
        <v/>
      </c>
      <c r="AM21" s="24">
        <f>SUM(C21,AL21)</f>
        <v/>
      </c>
      <c r="AN21" s="25">
        <f>E21*AM21</f>
        <v/>
      </c>
    </row>
    <row r="22" ht="25.05" customHeight="1">
      <c r="A22" s="3" t="n">
        <v>7585</v>
      </c>
      <c r="B22" s="3" t="inlineStr">
        <is>
          <t>HEL NESTLE MAXIBON COOKIES 24 UDS</t>
        </is>
      </c>
      <c r="C22" s="3" t="n">
        <v>0</v>
      </c>
      <c r="D22" s="8" t="inlineStr">
        <is>
          <t>UNIDAD</t>
        </is>
      </c>
      <c r="E22" s="9" t="n">
        <v>1.3768</v>
      </c>
      <c r="F22" s="10">
        <f>C22*E22</f>
        <v/>
      </c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3">
        <f>SUM(G22:AK22)</f>
        <v/>
      </c>
      <c r="AM22" s="24">
        <f>SUM(C22,AL22)</f>
        <v/>
      </c>
      <c r="AN22" s="25">
        <f>E22*AM22</f>
        <v/>
      </c>
    </row>
    <row r="23" ht="25.05" customHeight="1">
      <c r="A23" s="3" t="n">
        <v>4779</v>
      </c>
      <c r="B23" s="3" t="inlineStr">
        <is>
          <t>HEL NESTLE MAXIBON NATA 24 UDS</t>
        </is>
      </c>
      <c r="C23" s="3" t="n">
        <v>0</v>
      </c>
      <c r="D23" s="8" t="inlineStr">
        <is>
          <t>UNIDAD</t>
        </is>
      </c>
      <c r="E23" s="9" t="n">
        <v>1.37695</v>
      </c>
      <c r="F23" s="10">
        <f>C23*E23</f>
        <v/>
      </c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3">
        <f>SUM(G23:AK23)</f>
        <v/>
      </c>
      <c r="AM23" s="24">
        <f>SUM(C23,AL23)</f>
        <v/>
      </c>
      <c r="AN23" s="25">
        <f>E23*AM23</f>
        <v/>
      </c>
    </row>
    <row r="24" ht="25.05" customHeight="1">
      <c r="A24" s="3" t="n">
        <v>28925</v>
      </c>
      <c r="B24" s="3" t="inlineStr">
        <is>
          <t>HEL NESTLE MAXIBON STRANGER THINGS 24 UDS</t>
        </is>
      </c>
      <c r="C24" s="3" t="n">
        <v>0</v>
      </c>
      <c r="D24" s="8" t="inlineStr">
        <is>
          <t>UNIDAD</t>
        </is>
      </c>
      <c r="E24" s="9" t="n">
        <v>1.38</v>
      </c>
      <c r="F24" s="15">
        <f>C24*E24</f>
        <v/>
      </c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3">
        <f>SUM(G24:AK24)</f>
        <v/>
      </c>
      <c r="AM24" s="24">
        <f>SUM(C24,AL24)</f>
        <v/>
      </c>
      <c r="AN24" s="25">
        <f>E24*AM24</f>
        <v/>
      </c>
    </row>
    <row r="25" ht="25.05" customHeight="1">
      <c r="A25" s="3" t="n">
        <v>22783</v>
      </c>
      <c r="B25" s="3" t="inlineStr">
        <is>
          <t>HEL NESTLE NATA/CHOCOLATE NGO C/ALMENDRAS 20 UD</t>
        </is>
      </c>
      <c r="C25" s="3" t="n">
        <v>0</v>
      </c>
      <c r="D25" s="8" t="inlineStr">
        <is>
          <t>UNIDAD</t>
        </is>
      </c>
      <c r="E25" s="9" t="n">
        <v>1.49427</v>
      </c>
      <c r="F25" s="10">
        <f>C25*E25</f>
        <v/>
      </c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3">
        <f>SUM(G25:AK25)</f>
        <v/>
      </c>
      <c r="AM25" s="24">
        <f>SUM(C25,AL25)</f>
        <v/>
      </c>
      <c r="AN25" s="25">
        <f>E25*AM25</f>
        <v/>
      </c>
    </row>
    <row r="26" ht="25.05" customHeight="1">
      <c r="A26" s="3" t="n">
        <v>4790</v>
      </c>
      <c r="B26" s="3" t="inlineStr">
        <is>
          <t>HEL NESTLE PEZEZITOS/FANTASMIKOS 18 UDS</t>
        </is>
      </c>
      <c r="C26" s="3" t="n">
        <v>0</v>
      </c>
      <c r="D26" s="8" t="inlineStr">
        <is>
          <t>UNIDAD</t>
        </is>
      </c>
      <c r="E26" s="9" t="n">
        <v>1.03724</v>
      </c>
      <c r="F26" s="10">
        <f>C26*E26</f>
        <v/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3">
        <f>SUM(G26:AK26)</f>
        <v/>
      </c>
      <c r="AM26" s="24">
        <f>SUM(C26,AL26)</f>
        <v/>
      </c>
      <c r="AN26" s="25">
        <f>E26*AM26</f>
        <v/>
      </c>
    </row>
    <row r="27" ht="25.05" customHeight="1">
      <c r="A27" s="3" t="n">
        <v>7588</v>
      </c>
      <c r="B27" s="3" t="inlineStr">
        <is>
          <t>HEL NESTLE PIRULO COOL FRESA 24 UDS</t>
        </is>
      </c>
      <c r="C27" s="3" t="n">
        <v>0</v>
      </c>
      <c r="D27" s="8" t="inlineStr">
        <is>
          <t>UNIDAD</t>
        </is>
      </c>
      <c r="E27" s="9" t="n">
        <v>0.70183</v>
      </c>
      <c r="F27" s="10">
        <f>C27*E27</f>
        <v/>
      </c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3">
        <f>SUM(G27:AK27)</f>
        <v/>
      </c>
      <c r="AM27" s="24">
        <f>SUM(C27,AL27)</f>
        <v/>
      </c>
      <c r="AN27" s="25">
        <f>E27*AM27</f>
        <v/>
      </c>
    </row>
    <row r="28" ht="25.05" customHeight="1">
      <c r="A28" s="3" t="n">
        <v>23983</v>
      </c>
      <c r="B28" s="3" t="inlineStr">
        <is>
          <t>HEL NESTLE PIRULO COOL LIMON 24 UD</t>
        </is>
      </c>
      <c r="C28" s="3" t="n">
        <v>0</v>
      </c>
      <c r="D28" s="8" t="inlineStr">
        <is>
          <t>UNIDAD</t>
        </is>
      </c>
      <c r="E28" s="9" t="n">
        <v>0.70183</v>
      </c>
      <c r="F28" s="10">
        <f>C28*E28</f>
        <v/>
      </c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3">
        <f>SUM(G28:AK28)</f>
        <v/>
      </c>
      <c r="AM28" s="24">
        <f>SUM(C28,AL28)</f>
        <v/>
      </c>
      <c r="AN28" s="25">
        <f>E28*AM28</f>
        <v/>
      </c>
    </row>
    <row r="29" ht="25.05" customHeight="1">
      <c r="A29" s="3" t="n">
        <v>23974</v>
      </c>
      <c r="B29" s="3" t="inlineStr">
        <is>
          <t>HEL NESTLE PIRULO MIKOLAPIZ 20 UD</t>
        </is>
      </c>
      <c r="C29" s="3" t="n">
        <v>0</v>
      </c>
      <c r="D29" s="8" t="inlineStr">
        <is>
          <t>UNIDAD</t>
        </is>
      </c>
      <c r="E29" s="9" t="n">
        <v>0.8119</v>
      </c>
      <c r="F29" s="10">
        <f>C29*E29</f>
        <v/>
      </c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3">
        <f>SUM(G29:AK29)</f>
        <v/>
      </c>
      <c r="AM29" s="24">
        <f>SUM(C29,AL29)</f>
        <v/>
      </c>
      <c r="AN29" s="25">
        <f>E29*AM29</f>
        <v/>
      </c>
    </row>
    <row r="30" ht="25.05" customHeight="1">
      <c r="A30" s="3" t="n">
        <v>17150</v>
      </c>
      <c r="B30" s="3" t="inlineStr">
        <is>
          <t>HEL NESTLE PIRULO SANDIA 36 UDS</t>
        </is>
      </c>
      <c r="C30" s="3" t="n">
        <v>0</v>
      </c>
      <c r="D30" s="8" t="inlineStr">
        <is>
          <t>UNIDAD</t>
        </is>
      </c>
      <c r="E30" s="9" t="n">
        <v>0.70631</v>
      </c>
      <c r="F30" s="10">
        <f>C30*E30</f>
        <v/>
      </c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3">
        <f>SUM(G30:AK30)</f>
        <v/>
      </c>
      <c r="AM30" s="24">
        <f>SUM(C30,AL30)</f>
        <v/>
      </c>
      <c r="AN30" s="25">
        <f>E30*AM30</f>
        <v/>
      </c>
    </row>
    <row r="31" ht="25.05" customHeight="1">
      <c r="A31" s="3" t="n">
        <v>11459</v>
      </c>
      <c r="B31" s="3" t="inlineStr">
        <is>
          <t>HEL NESTLE PIRULO TROPICAL 20 UDS</t>
        </is>
      </c>
      <c r="C31" s="3" t="n">
        <v>0</v>
      </c>
      <c r="D31" s="8" t="inlineStr">
        <is>
          <t>UNIDAD</t>
        </is>
      </c>
      <c r="E31" s="9" t="n">
        <v>1.01665</v>
      </c>
      <c r="F31" s="10">
        <f>C31*E31</f>
        <v/>
      </c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3">
        <f>SUM(G31:AK31)</f>
        <v/>
      </c>
      <c r="AM31" s="24">
        <f>SUM(C31,AL31)</f>
        <v/>
      </c>
      <c r="AN31" s="25">
        <f>E31*AM31</f>
        <v/>
      </c>
    </row>
    <row r="32" ht="25.05" customHeight="1">
      <c r="A32" s="3" t="n">
        <v>25999</v>
      </c>
      <c r="B32" s="3" t="inlineStr">
        <is>
          <t>HEL NESTLE PIRULO TROPICAL MINI 6 UDS</t>
        </is>
      </c>
      <c r="C32" s="3" t="n">
        <v>0</v>
      </c>
      <c r="D32" s="8" t="inlineStr">
        <is>
          <t>UNIDAD</t>
        </is>
      </c>
      <c r="E32" s="9" t="n">
        <v>0.364</v>
      </c>
      <c r="F32" s="10">
        <f>C32*E32</f>
        <v/>
      </c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3">
        <f>SUM(G32:AK32)</f>
        <v/>
      </c>
      <c r="AM32" s="24">
        <f>SUM(C32,AL32)</f>
        <v/>
      </c>
      <c r="AN32" s="25">
        <f>E32*AM32</f>
        <v/>
      </c>
    </row>
    <row r="33" ht="25.05" customHeight="1">
      <c r="A33" s="3" t="n">
        <v>19180</v>
      </c>
      <c r="B33" s="3" t="inlineStr">
        <is>
          <t>HEL NESTLE SANDWICH OREO 24 UDS</t>
        </is>
      </c>
      <c r="C33" s="3" t="n">
        <v>0</v>
      </c>
      <c r="D33" s="8" t="inlineStr">
        <is>
          <t>UNIDAD</t>
        </is>
      </c>
      <c r="E33" s="9" t="n">
        <v>1.4451</v>
      </c>
      <c r="F33" s="10">
        <f>C33*E33</f>
        <v/>
      </c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3">
        <f>SUM(G33:AK33)</f>
        <v/>
      </c>
      <c r="AM33" s="24">
        <f>SUM(C33,AL33)</f>
        <v/>
      </c>
      <c r="AN33" s="25">
        <f>E33*AM33</f>
        <v/>
      </c>
    </row>
    <row r="34" ht="25.05" customHeight="1">
      <c r="A34" s="3" t="n">
        <v>9856</v>
      </c>
      <c r="B34" s="3" t="inlineStr">
        <is>
          <t>HEL NESTLE SMARTIES 20 UDS</t>
        </is>
      </c>
      <c r="C34" s="3" t="n">
        <v>0</v>
      </c>
      <c r="D34" s="8" t="inlineStr">
        <is>
          <t>UNIDAD</t>
        </is>
      </c>
      <c r="E34" s="9" t="n">
        <v>0.8119</v>
      </c>
      <c r="F34" s="10">
        <f>C34*E34</f>
        <v/>
      </c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3">
        <f>SUM(G34:AK34)</f>
        <v/>
      </c>
      <c r="AM34" s="24">
        <f>SUM(C34,AL34)</f>
        <v/>
      </c>
      <c r="AN34" s="25">
        <f>E34*AM34</f>
        <v/>
      </c>
    </row>
    <row r="35" ht="25.05" customHeight="1">
      <c r="A35" s="3" t="n">
        <v>25425</v>
      </c>
      <c r="B35" s="3" t="inlineStr">
        <is>
          <t>HELADO NESTLE CONO TURRON 16 UDS</t>
        </is>
      </c>
      <c r="C35" s="3" t="n">
        <v>0</v>
      </c>
      <c r="D35" s="8" t="inlineStr">
        <is>
          <t>UNIDAD</t>
        </is>
      </c>
      <c r="E35" s="9" t="n">
        <v>0.36205</v>
      </c>
      <c r="F35" s="10">
        <f>C35*E35</f>
        <v/>
      </c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3">
        <f>SUM(G35:AK35)</f>
        <v/>
      </c>
      <c r="AM35" s="24">
        <f>SUM(C35,AL35)</f>
        <v/>
      </c>
      <c r="AN35" s="25">
        <f>E35*AM35</f>
        <v/>
      </c>
    </row>
    <row r="36" ht="25.05" customHeight="1">
      <c r="A36" s="3" t="n">
        <v>9142</v>
      </c>
      <c r="B36" s="3" t="inlineStr">
        <is>
          <t>HELADO NESTLE MAXIBON WAFFLE 24 UDS</t>
        </is>
      </c>
      <c r="C36" s="3" t="n">
        <v>0</v>
      </c>
      <c r="D36" s="8" t="inlineStr">
        <is>
          <t>UNIDAD</t>
        </is>
      </c>
      <c r="E36" s="9" t="n">
        <v>1.37695</v>
      </c>
      <c r="F36" s="10">
        <f>C36*E36</f>
        <v/>
      </c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3">
        <f>SUM(G36:AK36)</f>
        <v/>
      </c>
      <c r="AM36" s="24">
        <f>SUM(C36,AL36)</f>
        <v/>
      </c>
      <c r="AN36" s="25">
        <f>E36*AM36</f>
        <v/>
      </c>
    </row>
    <row r="37" ht="25.05" customHeight="1">
      <c r="A37" s="3" t="n">
        <v>28125</v>
      </c>
      <c r="B37" s="3" t="inlineStr">
        <is>
          <t>MILKA CUP 145 ML</t>
        </is>
      </c>
      <c r="C37" s="3" t="n">
        <v>0</v>
      </c>
      <c r="D37" s="8" t="inlineStr">
        <is>
          <t>UNIDAD</t>
        </is>
      </c>
      <c r="E37" s="9" t="n">
        <v>1.7493</v>
      </c>
      <c r="F37" s="10">
        <f>C37*E37</f>
        <v/>
      </c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3">
        <f>SUM(G37:AK37)</f>
        <v/>
      </c>
      <c r="AM37" s="24">
        <f>SUM(C37,AL37)</f>
        <v/>
      </c>
      <c r="AN37" s="25">
        <f>E37*AM37</f>
        <v/>
      </c>
    </row>
    <row r="38" ht="25.05" customHeight="1">
      <c r="A38" s="3" t="n">
        <v>28124</v>
      </c>
      <c r="B38" s="3" t="inlineStr">
        <is>
          <t>OREO CUP 145 ML</t>
        </is>
      </c>
      <c r="C38" s="3" t="n">
        <v>0</v>
      </c>
      <c r="D38" s="8" t="inlineStr">
        <is>
          <t>UNIDAD</t>
        </is>
      </c>
      <c r="E38" s="9" t="n">
        <v>1.7493</v>
      </c>
      <c r="F38" s="10">
        <f>C38*E38</f>
        <v/>
      </c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3">
        <f>SUM(G38:AK38)</f>
        <v/>
      </c>
      <c r="AM38" s="24">
        <f>SUM(C38,AL38)</f>
        <v/>
      </c>
      <c r="AN38" s="25">
        <f>E38*AM38</f>
        <v/>
      </c>
    </row>
    <row r="39" ht="25.05" customHeight="1">
      <c r="A39" s="3" t="n">
        <v>11952</v>
      </c>
      <c r="B39" s="3" t="inlineStr">
        <is>
          <t>LECHE DESNATADA POLVO</t>
        </is>
      </c>
      <c r="C39" s="3" t="n">
        <v>0</v>
      </c>
      <c r="D39" s="8" t="inlineStr">
        <is>
          <t>KILO</t>
        </is>
      </c>
      <c r="E39" s="9" t="n">
        <v>10.87</v>
      </c>
      <c r="F39" s="10">
        <f>C39*E39</f>
        <v/>
      </c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3">
        <f>SUM(G39:AK39)</f>
        <v/>
      </c>
      <c r="AM39" s="24">
        <f>SUM(C39,AL39)</f>
        <v/>
      </c>
      <c r="AN39" s="25">
        <f>E39*AM39</f>
        <v/>
      </c>
    </row>
    <row r="40" ht="25.05" customHeight="1">
      <c r="A40" s="3" t="n">
        <v>13385</v>
      </c>
      <c r="B40" s="3" t="inlineStr">
        <is>
          <t>APERITIVO APEROL 100 CL</t>
        </is>
      </c>
      <c r="C40" s="3" t="n">
        <v>0</v>
      </c>
      <c r="D40" s="8" t="inlineStr">
        <is>
          <t>BOTELLA</t>
        </is>
      </c>
      <c r="E40" s="9" t="n">
        <v>11.03158</v>
      </c>
      <c r="F40" s="10">
        <f>C40*E40</f>
        <v/>
      </c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3">
        <f>SUM(G40:AK40)</f>
        <v/>
      </c>
      <c r="AM40" s="24">
        <f>SUM(C40,AL40)</f>
        <v/>
      </c>
      <c r="AN40" s="25">
        <f>E40*AM40</f>
        <v/>
      </c>
    </row>
    <row r="41" ht="25.05" customHeight="1">
      <c r="A41" s="3" t="n">
        <v>1460</v>
      </c>
      <c r="B41" s="3" t="inlineStr">
        <is>
          <t>APERITIVO CAMPARI 100 CL</t>
        </is>
      </c>
      <c r="C41" s="3" t="n">
        <v>0</v>
      </c>
      <c r="D41" s="8" t="inlineStr">
        <is>
          <t>BOTELLA</t>
        </is>
      </c>
      <c r="E41" s="9" t="n">
        <v>13.999933</v>
      </c>
      <c r="F41" s="10">
        <f>C41*E41</f>
        <v/>
      </c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3">
        <f>SUM(G41:AK41)</f>
        <v/>
      </c>
      <c r="AM41" s="24">
        <f>SUM(C41,AL41)</f>
        <v/>
      </c>
      <c r="AN41" s="25">
        <f>E41*AM41</f>
        <v/>
      </c>
    </row>
    <row r="42" ht="25.05" customHeight="1">
      <c r="A42" s="3" t="n">
        <v>93</v>
      </c>
      <c r="B42" s="3" t="inlineStr">
        <is>
          <t>APERITIVO MARTINI BLANCO DULCE 100 CL</t>
        </is>
      </c>
      <c r="C42" s="3" t="n">
        <v>0</v>
      </c>
      <c r="D42" s="8" t="inlineStr">
        <is>
          <t>BOTELLA</t>
        </is>
      </c>
      <c r="E42" s="9" t="n">
        <v>8.044036</v>
      </c>
      <c r="F42" s="10">
        <f>C42*E42</f>
        <v/>
      </c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3">
        <f>SUM(G42:AK42)</f>
        <v/>
      </c>
      <c r="AM42" s="24">
        <f>SUM(C42,AL42)</f>
        <v/>
      </c>
      <c r="AN42" s="25">
        <f>E42*AM42</f>
        <v/>
      </c>
    </row>
    <row r="43" ht="25.05" customHeight="1">
      <c r="A43" s="3" t="n">
        <v>28571</v>
      </c>
      <c r="B43" s="3" t="inlineStr">
        <is>
          <t>APERITIVO MARTINI BLANCO FLOREALE S/ALCOHOL 75 CL</t>
        </is>
      </c>
      <c r="C43" s="3" t="n">
        <v>0</v>
      </c>
      <c r="D43" s="8" t="inlineStr">
        <is>
          <t>BOTELLA</t>
        </is>
      </c>
      <c r="E43" s="9" t="n">
        <v>8.880000000000001</v>
      </c>
      <c r="F43" s="10">
        <f>C43*E43</f>
        <v/>
      </c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3">
        <f>SUM(G43:AK43)</f>
        <v/>
      </c>
      <c r="AM43" s="24">
        <f>SUM(C43,AL43)</f>
        <v/>
      </c>
      <c r="AN43" s="25">
        <f>E43*AM43</f>
        <v/>
      </c>
    </row>
    <row r="44" ht="25.05" customHeight="1">
      <c r="A44" s="3" t="n">
        <v>99</v>
      </c>
      <c r="B44" s="3" t="inlineStr">
        <is>
          <t>APERITIVO MARTINI ROJO 100 CL</t>
        </is>
      </c>
      <c r="C44" s="3" t="n">
        <v>0</v>
      </c>
      <c r="D44" s="8" t="inlineStr">
        <is>
          <t>BOTELLA</t>
        </is>
      </c>
      <c r="E44" s="9" t="n">
        <v>8.052308</v>
      </c>
      <c r="F44" s="10">
        <f>C44*E44</f>
        <v/>
      </c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3">
        <f>SUM(G44:AK44)</f>
        <v/>
      </c>
      <c r="AM44" s="24">
        <f>SUM(C44,AL44)</f>
        <v/>
      </c>
      <c r="AN44" s="25">
        <f>E44*AM44</f>
        <v/>
      </c>
    </row>
    <row r="45" ht="25.05" customHeight="1">
      <c r="A45" s="3" t="n">
        <v>2133</v>
      </c>
      <c r="B45" s="3" t="inlineStr">
        <is>
          <t>VINO GEN CHICLANERO 75 CL</t>
        </is>
      </c>
      <c r="C45" s="3" t="n">
        <v>0</v>
      </c>
      <c r="D45" s="8" t="inlineStr">
        <is>
          <t>BOTELLA</t>
        </is>
      </c>
      <c r="E45" s="9" t="n">
        <v>4.897748</v>
      </c>
      <c r="F45" s="10">
        <f>C45*E45</f>
        <v/>
      </c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3">
        <f>SUM(G45:AK45)</f>
        <v/>
      </c>
      <c r="AM45" s="24">
        <f>SUM(C45,AL45)</f>
        <v/>
      </c>
      <c r="AN45" s="25">
        <f>E45*AM45</f>
        <v/>
      </c>
    </row>
    <row r="46" ht="25.05" customHeight="1">
      <c r="A46" s="3" t="n">
        <v>2135</v>
      </c>
      <c r="B46" s="3" t="inlineStr">
        <is>
          <t>VINO GEN OLOROSO CHICLANERO 75 CL</t>
        </is>
      </c>
      <c r="C46" s="3" t="n">
        <v>0</v>
      </c>
      <c r="D46" s="8" t="inlineStr">
        <is>
          <t>BOTELLA</t>
        </is>
      </c>
      <c r="E46" s="9" t="n">
        <v>5.249838</v>
      </c>
      <c r="F46" s="10">
        <f>C46*E46</f>
        <v/>
      </c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3">
        <f>SUM(G46:AK46)</f>
        <v/>
      </c>
      <c r="AM46" s="24">
        <f>SUM(C46,AL46)</f>
        <v/>
      </c>
      <c r="AN46" s="25">
        <f>E46*AM46</f>
        <v/>
      </c>
    </row>
    <row r="47" ht="25.05" customHeight="1">
      <c r="A47" s="3" t="n">
        <v>216</v>
      </c>
      <c r="B47" s="3" t="inlineStr">
        <is>
          <t>BRANDY VETERANO 100 CL</t>
        </is>
      </c>
      <c r="C47" s="3" t="n">
        <v>0</v>
      </c>
      <c r="D47" s="8" t="inlineStr">
        <is>
          <t>BOTELLA</t>
        </is>
      </c>
      <c r="E47" s="9" t="n">
        <v>8.126220999999999</v>
      </c>
      <c r="F47" s="10">
        <f>C47*E47</f>
        <v/>
      </c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3">
        <f>SUM(G47:AK47)</f>
        <v/>
      </c>
      <c r="AM47" s="24">
        <f>SUM(C47,AL47)</f>
        <v/>
      </c>
      <c r="AN47" s="25">
        <f>E47*AM47</f>
        <v/>
      </c>
    </row>
    <row r="48" ht="25.05" customHeight="1">
      <c r="A48" s="3" t="n">
        <v>503</v>
      </c>
      <c r="B48" s="3" t="inlineStr">
        <is>
          <t>CAFE GRANO BLEND PROFONDO/ELEGANTE 1 KG</t>
        </is>
      </c>
      <c r="C48" s="3" t="n">
        <v>0</v>
      </c>
      <c r="D48" s="8" t="inlineStr">
        <is>
          <t>KILO</t>
        </is>
      </c>
      <c r="E48" s="9" t="n">
        <v>12.67</v>
      </c>
      <c r="F48" s="10">
        <f>C48*E48</f>
        <v/>
      </c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3">
        <f>SUM(G48:AK48)</f>
        <v/>
      </c>
      <c r="AM48" s="24">
        <f>SUM(C48,AL48)</f>
        <v/>
      </c>
      <c r="AN48" s="25">
        <f>E48*AM48</f>
        <v/>
      </c>
    </row>
    <row r="49" ht="25.05" customHeight="1">
      <c r="A49" s="3" t="n">
        <v>28401</v>
      </c>
      <c r="B49" s="3" t="inlineStr">
        <is>
          <t>BIB TE/INFUSION TE BLANCO C/ARANDANOS</t>
        </is>
      </c>
      <c r="C49" s="3" t="n">
        <v>0</v>
      </c>
      <c r="D49" s="8" t="inlineStr">
        <is>
          <t>LITRO</t>
        </is>
      </c>
      <c r="E49" s="9" t="n">
        <v>3.5</v>
      </c>
      <c r="F49" s="10">
        <f>C49*E49</f>
        <v/>
      </c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3">
        <f>SUM(G49:AK49)</f>
        <v/>
      </c>
      <c r="AM49" s="24">
        <f>SUM(C49,AL49)</f>
        <v/>
      </c>
      <c r="AN49" s="25">
        <f>E49*AM49</f>
        <v/>
      </c>
    </row>
    <row r="50" ht="25.05" customHeight="1">
      <c r="A50" s="3" t="n">
        <v>28403</v>
      </c>
      <c r="B50" s="3" t="inlineStr">
        <is>
          <t>BIB TE/INFUSION TE VERDE C/JENGIBRE</t>
        </is>
      </c>
      <c r="C50" s="3" t="n">
        <v>0</v>
      </c>
      <c r="D50" s="8" t="inlineStr">
        <is>
          <t>LITRO</t>
        </is>
      </c>
      <c r="E50" s="9" t="n">
        <v>3.5</v>
      </c>
      <c r="F50" s="10">
        <f>C50*E50</f>
        <v/>
      </c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3">
        <f>SUM(G50:AK50)</f>
        <v/>
      </c>
      <c r="AM50" s="24">
        <f>SUM(C50,AL50)</f>
        <v/>
      </c>
      <c r="AN50" s="25">
        <f>E50*AM50</f>
        <v/>
      </c>
    </row>
    <row r="51" ht="25.05" customHeight="1">
      <c r="A51" s="3" t="n">
        <v>8983</v>
      </c>
      <c r="B51" s="3" t="inlineStr">
        <is>
          <t>CAVA CASTELL D'ORDAL BRUT 75 CL</t>
        </is>
      </c>
      <c r="C51" s="3" t="n">
        <v>0</v>
      </c>
      <c r="D51" s="8" t="inlineStr">
        <is>
          <t>BOTELLA</t>
        </is>
      </c>
      <c r="E51" s="9" t="n">
        <v>1.899995</v>
      </c>
      <c r="F51" s="10">
        <f>C51*E51</f>
        <v/>
      </c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3">
        <f>SUM(G51:AK51)</f>
        <v/>
      </c>
      <c r="AM51" s="24">
        <f>SUM(C51,AL51)</f>
        <v/>
      </c>
      <c r="AN51" s="25">
        <f>E51*AM51</f>
        <v/>
      </c>
    </row>
    <row r="52" ht="25.05" customHeight="1">
      <c r="A52" s="3" t="n">
        <v>8992</v>
      </c>
      <c r="B52" s="3" t="inlineStr">
        <is>
          <t>CERVEZA BARRIL MAHOU CLASICA 30 LT</t>
        </is>
      </c>
      <c r="C52" s="3" t="n">
        <v>0</v>
      </c>
      <c r="D52" s="8" t="inlineStr">
        <is>
          <t>LITRO</t>
        </is>
      </c>
      <c r="E52" s="9" t="n">
        <v>0.502317</v>
      </c>
      <c r="F52" s="10">
        <f>C52*E52</f>
        <v/>
      </c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3">
        <f>SUM(G52:AK52)</f>
        <v/>
      </c>
      <c r="AM52" s="24">
        <f>SUM(C52,AL52)</f>
        <v/>
      </c>
      <c r="AN52" s="25">
        <f>E52*AM52</f>
        <v/>
      </c>
    </row>
    <row r="53" ht="25.05" customHeight="1">
      <c r="A53" s="3" t="n">
        <v>17627</v>
      </c>
      <c r="B53" s="3" t="inlineStr">
        <is>
          <t>CERVEZA SAN MIGUEL S/GLUTEN SR 33 CL</t>
        </is>
      </c>
      <c r="C53" s="3" t="n">
        <v>0</v>
      </c>
      <c r="D53" s="8" t="inlineStr">
        <is>
          <t>BOTELLA</t>
        </is>
      </c>
      <c r="E53" s="9" t="n">
        <v>0.754984</v>
      </c>
      <c r="F53" s="10">
        <f>C53*E53</f>
        <v/>
      </c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3">
        <f>SUM(G53:AK53)</f>
        <v/>
      </c>
      <c r="AM53" s="24">
        <f>SUM(C53,AL53)</f>
        <v/>
      </c>
      <c r="AN53" s="25">
        <f>E53*AM53</f>
        <v/>
      </c>
    </row>
    <row r="54" ht="25.05" customHeight="1">
      <c r="A54" s="3" t="n">
        <v>5796</v>
      </c>
      <c r="B54" s="3" t="inlineStr">
        <is>
          <t>CERVEZA SIN ALCOHOL S.M 0'0 33 CL</t>
        </is>
      </c>
      <c r="C54" s="3" t="n">
        <v>0</v>
      </c>
      <c r="D54" s="8" t="inlineStr">
        <is>
          <t>BOTELLA</t>
        </is>
      </c>
      <c r="E54" s="9" t="n">
        <v>0.327086</v>
      </c>
      <c r="F54" s="10">
        <f>C54*E54</f>
        <v/>
      </c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3">
        <f>SUM(G54:AK54)</f>
        <v/>
      </c>
      <c r="AM54" s="24">
        <f>SUM(C54,AL54)</f>
        <v/>
      </c>
      <c r="AN54" s="25">
        <f>E54*AM54</f>
        <v/>
      </c>
    </row>
    <row r="55" ht="25.05" customHeight="1">
      <c r="A55" s="3" t="n">
        <v>7273</v>
      </c>
      <c r="B55" s="3" t="inlineStr">
        <is>
          <t>AGUARD. ORUJO DE HIERBAS 70 CL</t>
        </is>
      </c>
      <c r="C55" s="3" t="n">
        <v>0</v>
      </c>
      <c r="D55" s="8" t="inlineStr">
        <is>
          <t>BOTELLA</t>
        </is>
      </c>
      <c r="E55" s="9" t="n">
        <v>7.989975</v>
      </c>
      <c r="F55" s="10">
        <f>C55*E55</f>
        <v/>
      </c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3">
        <f>SUM(G55:AK55)</f>
        <v/>
      </c>
      <c r="AM55" s="24">
        <f>SUM(C55,AL55)</f>
        <v/>
      </c>
      <c r="AN55" s="25">
        <f>E55*AM55</f>
        <v/>
      </c>
    </row>
    <row r="56" ht="25.05" customHeight="1">
      <c r="A56" s="3" t="n">
        <v>135</v>
      </c>
      <c r="B56" s="3" t="inlineStr">
        <is>
          <t>GIN BEEFEATER 70 CL</t>
        </is>
      </c>
      <c r="C56" s="3" t="n">
        <v>0</v>
      </c>
      <c r="D56" s="8" t="inlineStr">
        <is>
          <t>BOTELLA</t>
        </is>
      </c>
      <c r="E56" s="9" t="n">
        <v>11.873156</v>
      </c>
      <c r="F56" s="10">
        <f>C56*E56</f>
        <v/>
      </c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3">
        <f>SUM(G56:AK56)</f>
        <v/>
      </c>
      <c r="AM56" s="24">
        <f>SUM(C56,AL56)</f>
        <v/>
      </c>
      <c r="AN56" s="25">
        <f>E56*AM56</f>
        <v/>
      </c>
    </row>
    <row r="57" ht="25.05" customHeight="1">
      <c r="A57" s="3" t="n">
        <v>1074</v>
      </c>
      <c r="B57" s="3" t="inlineStr">
        <is>
          <t>GIN GORDON'S 70 CL</t>
        </is>
      </c>
      <c r="C57" s="3" t="n">
        <v>0</v>
      </c>
      <c r="D57" s="8" t="inlineStr">
        <is>
          <t>BOTELLA</t>
        </is>
      </c>
      <c r="E57" s="9" t="n">
        <v>9.565115</v>
      </c>
      <c r="F57" s="10">
        <f>C57*E57</f>
        <v/>
      </c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3">
        <f>SUM(G57:AK57)</f>
        <v/>
      </c>
      <c r="AM57" s="24">
        <f>SUM(C57,AL57)</f>
        <v/>
      </c>
      <c r="AN57" s="25">
        <f>E57*AM57</f>
        <v/>
      </c>
    </row>
    <row r="58" ht="25.05" customHeight="1">
      <c r="A58" s="3" t="n">
        <v>17517</v>
      </c>
      <c r="B58" s="3" t="inlineStr">
        <is>
          <t>GIN LARIOS 12 AÑOS 70 CL</t>
        </is>
      </c>
      <c r="C58" s="3" t="n">
        <v>0</v>
      </c>
      <c r="D58" s="8" t="inlineStr">
        <is>
          <t>BOTELLA</t>
        </is>
      </c>
      <c r="E58" s="9" t="n">
        <v>12.811429</v>
      </c>
      <c r="F58" s="10">
        <f>C58*E58</f>
        <v/>
      </c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3">
        <f>SUM(G58:AK58)</f>
        <v/>
      </c>
      <c r="AM58" s="24">
        <f>SUM(C58,AL58)</f>
        <v/>
      </c>
      <c r="AN58" s="25">
        <f>E58*AM58</f>
        <v/>
      </c>
    </row>
    <row r="59" ht="25.05" customHeight="1">
      <c r="A59" s="3" t="n">
        <v>17178</v>
      </c>
      <c r="B59" s="3" t="inlineStr">
        <is>
          <t>GIN PUERTO DE INDIAS FRESA 70 CL</t>
        </is>
      </c>
      <c r="C59" s="3" t="n">
        <v>0</v>
      </c>
      <c r="D59" s="8" t="inlineStr">
        <is>
          <t>BOTELLA</t>
        </is>
      </c>
      <c r="E59" s="9" t="n">
        <v>12.447232</v>
      </c>
      <c r="F59" s="10">
        <f>C59*E59</f>
        <v/>
      </c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3">
        <f>SUM(G59:AK59)</f>
        <v/>
      </c>
      <c r="AM59" s="24">
        <f>SUM(C59,AL59)</f>
        <v/>
      </c>
      <c r="AN59" s="25">
        <f>E59*AM59</f>
        <v/>
      </c>
    </row>
    <row r="60" ht="25.05" customHeight="1">
      <c r="A60" s="3" t="n">
        <v>7556</v>
      </c>
      <c r="B60" s="3" t="inlineStr">
        <is>
          <t>BIB COCKTAIL DAIQUIRI LIMON C/ALCOHOL</t>
        </is>
      </c>
      <c r="C60" s="3" t="n">
        <v>0</v>
      </c>
      <c r="D60" s="8" t="inlineStr">
        <is>
          <t>LITRO</t>
        </is>
      </c>
      <c r="E60" s="9" t="n">
        <v>9.852850999999999</v>
      </c>
      <c r="F60" s="10">
        <f>C60*E60</f>
        <v/>
      </c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3">
        <f>SUM(G60:AK60)</f>
        <v/>
      </c>
      <c r="AM60" s="24">
        <f>SUM(C60,AL60)</f>
        <v/>
      </c>
      <c r="AN60" s="25">
        <f>E60*AM60</f>
        <v/>
      </c>
    </row>
    <row r="61" ht="25.05" customHeight="1">
      <c r="A61" s="3" t="n">
        <v>7555</v>
      </c>
      <c r="B61" s="3" t="inlineStr">
        <is>
          <t>BIB COCKTAIL LOVE ON THE BEACH C/ALCOHOL</t>
        </is>
      </c>
      <c r="C61" s="3" t="n">
        <v>0</v>
      </c>
      <c r="D61" s="8" t="inlineStr">
        <is>
          <t>LITRO</t>
        </is>
      </c>
      <c r="E61" s="9" t="n">
        <v>9.9</v>
      </c>
      <c r="F61" s="10">
        <f>C61*E61</f>
        <v/>
      </c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3">
        <f>SUM(G61:AK61)</f>
        <v/>
      </c>
      <c r="AM61" s="24">
        <f>SUM(C61,AL61)</f>
        <v/>
      </c>
      <c r="AN61" s="25">
        <f>E61*AM61</f>
        <v/>
      </c>
    </row>
    <row r="62" ht="25.05" customHeight="1">
      <c r="A62" s="3" t="n">
        <v>27256</v>
      </c>
      <c r="B62" s="3" t="inlineStr">
        <is>
          <t>BIB COCKTAIL MANGOTINI C/ALCOHOL</t>
        </is>
      </c>
      <c r="C62" s="3" t="n">
        <v>0</v>
      </c>
      <c r="D62" s="8" t="inlineStr">
        <is>
          <t>LITRO</t>
        </is>
      </c>
      <c r="E62" s="9" t="n">
        <v>10.15847</v>
      </c>
      <c r="F62" s="10">
        <f>C62*E62</f>
        <v/>
      </c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3">
        <f>SUM(G62:AK62)</f>
        <v/>
      </c>
      <c r="AM62" s="24">
        <f>SUM(C62,AL62)</f>
        <v/>
      </c>
      <c r="AN62" s="25">
        <f>E62*AM62</f>
        <v/>
      </c>
    </row>
    <row r="63" ht="25.05" customHeight="1">
      <c r="A63" s="3" t="n">
        <v>8559</v>
      </c>
      <c r="B63" s="3" t="inlineStr">
        <is>
          <t>BIB COCKTAIL MOJITO C/ALCOHOL</t>
        </is>
      </c>
      <c r="C63" s="3" t="n">
        <v>0</v>
      </c>
      <c r="D63" s="8" t="inlineStr">
        <is>
          <t>LITRO</t>
        </is>
      </c>
      <c r="E63" s="9" t="n">
        <v>9.852999000000001</v>
      </c>
      <c r="F63" s="10">
        <f>C63*E63</f>
        <v/>
      </c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3">
        <f>SUM(G63:AK63)</f>
        <v/>
      </c>
      <c r="AM63" s="24">
        <f>SUM(C63,AL63)</f>
        <v/>
      </c>
      <c r="AN63" s="25">
        <f>E63*AM63</f>
        <v/>
      </c>
    </row>
    <row r="64" ht="25.05" customHeight="1">
      <c r="A64" s="3" t="n">
        <v>7553</v>
      </c>
      <c r="B64" s="3" t="inlineStr">
        <is>
          <t>BIB COCKTAIL PIÑA COLADA C/ALCOHOL</t>
        </is>
      </c>
      <c r="C64" s="3" t="n">
        <v>0</v>
      </c>
      <c r="D64" s="8" t="inlineStr">
        <is>
          <t>LITRO</t>
        </is>
      </c>
      <c r="E64" s="9" t="n">
        <v>10.163693</v>
      </c>
      <c r="F64" s="10">
        <f>C64*E64</f>
        <v/>
      </c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3">
        <f>SUM(G64:AK64)</f>
        <v/>
      </c>
      <c r="AM64" s="24">
        <f>SUM(C64,AL64)</f>
        <v/>
      </c>
      <c r="AN64" s="25">
        <f>E64*AM64</f>
        <v/>
      </c>
    </row>
    <row r="65" ht="25.05" customHeight="1">
      <c r="A65" s="3" t="n">
        <v>7560</v>
      </c>
      <c r="B65" s="3" t="inlineStr">
        <is>
          <t>BIB COCKTAIL TEQUILA SUNRISE C/ALCOHOL</t>
        </is>
      </c>
      <c r="C65" s="3" t="n">
        <v>0</v>
      </c>
      <c r="D65" s="8" t="inlineStr">
        <is>
          <t>LITRO</t>
        </is>
      </c>
      <c r="E65" s="9" t="n">
        <v>9.852414</v>
      </c>
      <c r="F65" s="10">
        <f>C65*E65</f>
        <v/>
      </c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3">
        <f>SUM(G65:AK65)</f>
        <v/>
      </c>
      <c r="AM65" s="24">
        <f>SUM(C65,AL65)</f>
        <v/>
      </c>
      <c r="AN65" s="25">
        <f>E65*AM65</f>
        <v/>
      </c>
    </row>
    <row r="66" ht="25.05" customHeight="1">
      <c r="A66" s="3" t="n">
        <v>7554</v>
      </c>
      <c r="B66" s="3" t="inlineStr">
        <is>
          <t>BIB COCKTAIL VODKA SUN C/ALCOHOL</t>
        </is>
      </c>
      <c r="C66" s="3" t="n">
        <v>0</v>
      </c>
      <c r="D66" s="8" t="inlineStr">
        <is>
          <t>LITRO</t>
        </is>
      </c>
      <c r="E66" s="9" t="n">
        <v>9.853</v>
      </c>
      <c r="F66" s="10">
        <f>C66*E66</f>
        <v/>
      </c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3">
        <f>SUM(G66:AK66)</f>
        <v/>
      </c>
      <c r="AM66" s="24">
        <f>SUM(C66,AL66)</f>
        <v/>
      </c>
      <c r="AN66" s="25">
        <f>E66*AM66</f>
        <v/>
      </c>
    </row>
    <row r="67" ht="25.05" customHeight="1">
      <c r="A67" s="3" t="n">
        <v>115</v>
      </c>
      <c r="B67" s="3" t="inlineStr">
        <is>
          <t>LICOR AMARETTO DISARONNO 70 CL</t>
        </is>
      </c>
      <c r="C67" s="3" t="n">
        <v>0</v>
      </c>
      <c r="D67" s="8" t="inlineStr">
        <is>
          <t>BOTELLA</t>
        </is>
      </c>
      <c r="E67" s="9" t="n">
        <v>12.1</v>
      </c>
      <c r="F67" s="10">
        <f>C67*E67</f>
        <v/>
      </c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3">
        <f>SUM(G67:AK67)</f>
        <v/>
      </c>
      <c r="AM67" s="24">
        <f>SUM(C67,AL67)</f>
        <v/>
      </c>
      <c r="AN67" s="25">
        <f>E67*AM67</f>
        <v/>
      </c>
    </row>
    <row r="68" ht="25.05" customHeight="1">
      <c r="A68" s="3" t="n">
        <v>117</v>
      </c>
      <c r="B68" s="3" t="inlineStr">
        <is>
          <t>LICOR BAILEY'S 100 CL</t>
        </is>
      </c>
      <c r="C68" s="3" t="n">
        <v>0</v>
      </c>
      <c r="D68" s="8" t="inlineStr">
        <is>
          <t>BOTELLA</t>
        </is>
      </c>
      <c r="E68" s="9" t="n">
        <v>14.447462</v>
      </c>
      <c r="F68" s="10">
        <f>C68*E68</f>
        <v/>
      </c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3">
        <f>SUM(G68:AK68)</f>
        <v/>
      </c>
      <c r="AM68" s="24">
        <f>SUM(C68,AL68)</f>
        <v/>
      </c>
      <c r="AN68" s="25">
        <f>E68*AM68</f>
        <v/>
      </c>
    </row>
    <row r="69" ht="25.05" customHeight="1">
      <c r="A69" s="3" t="n">
        <v>18</v>
      </c>
      <c r="B69" s="3" t="inlineStr">
        <is>
          <t>LICOR LICOR 43 100 CL</t>
        </is>
      </c>
      <c r="C69" s="3" t="n">
        <v>0</v>
      </c>
      <c r="D69" s="8" t="inlineStr">
        <is>
          <t>BOTELLA</t>
        </is>
      </c>
      <c r="E69" s="9" t="n">
        <v>15.433333</v>
      </c>
      <c r="F69" s="10">
        <f>C69*E69</f>
        <v/>
      </c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3">
        <f>SUM(G69:AK69)</f>
        <v/>
      </c>
      <c r="AM69" s="24">
        <f>SUM(C69,AL69)</f>
        <v/>
      </c>
      <c r="AN69" s="25">
        <f>E69*AM69</f>
        <v/>
      </c>
    </row>
    <row r="70" ht="25.05" customHeight="1">
      <c r="A70" s="3" t="n">
        <v>25824</v>
      </c>
      <c r="B70" s="3" t="inlineStr">
        <is>
          <t>LICOR LIMONCELLO VILLA MASSA 70 CL</t>
        </is>
      </c>
      <c r="C70" s="3" t="n">
        <v>0</v>
      </c>
      <c r="D70" s="8" t="inlineStr">
        <is>
          <t>BOTELLA</t>
        </is>
      </c>
      <c r="E70" s="9" t="n">
        <v>11.11</v>
      </c>
      <c r="F70" s="10">
        <f>C70*E70</f>
        <v/>
      </c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3">
        <f>SUM(G70:AK70)</f>
        <v/>
      </c>
      <c r="AM70" s="24">
        <f>SUM(C70,AL70)</f>
        <v/>
      </c>
      <c r="AN70" s="25">
        <f>E70*AM70</f>
        <v/>
      </c>
    </row>
    <row r="71" ht="25.05" customHeight="1">
      <c r="A71" s="3" t="n">
        <v>1173</v>
      </c>
      <c r="B71" s="3" t="inlineStr">
        <is>
          <t>LICOR MALIBU 70 CL</t>
        </is>
      </c>
      <c r="C71" s="3" t="n">
        <v>0</v>
      </c>
      <c r="D71" s="8" t="inlineStr">
        <is>
          <t>BOTELLA</t>
        </is>
      </c>
      <c r="E71" s="9" t="n">
        <v>10.5</v>
      </c>
      <c r="F71" s="10">
        <f>C71*E71</f>
        <v/>
      </c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3">
        <f>SUM(G71:AK71)</f>
        <v/>
      </c>
      <c r="AM71" s="24">
        <f>SUM(C71,AL71)</f>
        <v/>
      </c>
      <c r="AN71" s="25">
        <f>E71*AM71</f>
        <v/>
      </c>
    </row>
    <row r="72" ht="25.05" customHeight="1">
      <c r="A72" s="3" t="n">
        <v>920967</v>
      </c>
      <c r="B72" s="3" t="inlineStr">
        <is>
          <t>LICOR PACHARAN ZOCO 100 CL</t>
        </is>
      </c>
      <c r="C72" s="3" t="n">
        <v>0</v>
      </c>
      <c r="D72" s="8" t="inlineStr">
        <is>
          <t>BOTELLA</t>
        </is>
      </c>
      <c r="E72" s="9" t="n">
        <v>10.009958</v>
      </c>
      <c r="F72" s="10">
        <f>C72*E72</f>
        <v/>
      </c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3">
        <f>SUM(G72:AK72)</f>
        <v/>
      </c>
      <c r="AM72" s="24">
        <f>SUM(C72,AL72)</f>
        <v/>
      </c>
      <c r="AN72" s="25">
        <f>E72*AM72</f>
        <v/>
      </c>
    </row>
    <row r="73" ht="25.05" customHeight="1">
      <c r="A73" s="3" t="n">
        <v>19849</v>
      </c>
      <c r="B73" s="3" t="inlineStr">
        <is>
          <t>BIB COCKTAIL BAHIA S/ALCOHOL</t>
        </is>
      </c>
      <c r="C73" s="3" t="n">
        <v>0</v>
      </c>
      <c r="D73" s="8" t="inlineStr">
        <is>
          <t>LITRO</t>
        </is>
      </c>
      <c r="E73" s="9" t="n">
        <v>5.785538</v>
      </c>
      <c r="F73" s="10">
        <f>C73*E73</f>
        <v/>
      </c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3">
        <f>SUM(G73:AK73)</f>
        <v/>
      </c>
      <c r="AM73" s="24">
        <f>SUM(C73,AL73)</f>
        <v/>
      </c>
      <c r="AN73" s="25">
        <f>E73*AM73</f>
        <v/>
      </c>
    </row>
    <row r="74" ht="25.05" customHeight="1">
      <c r="A74" s="3" t="n">
        <v>28911</v>
      </c>
      <c r="B74" s="3" t="inlineStr">
        <is>
          <t>BIB COCKTAIL SAN BORONDON S/ALCOHOL 10 LT</t>
        </is>
      </c>
      <c r="C74" s="3" t="n">
        <v>0</v>
      </c>
      <c r="D74" s="8" t="inlineStr">
        <is>
          <t>LITRO</t>
        </is>
      </c>
      <c r="E74" s="9" t="n">
        <v>5.746</v>
      </c>
      <c r="F74" s="10">
        <f>C74*E74</f>
        <v/>
      </c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3">
        <f>SUM(G74:AK74)</f>
        <v/>
      </c>
      <c r="AM74" s="24">
        <f>SUM(C74,AL74)</f>
        <v/>
      </c>
      <c r="AN74" s="25">
        <f>E74*AM74</f>
        <v/>
      </c>
    </row>
    <row r="75" ht="25.05" customHeight="1">
      <c r="A75" s="3" t="n">
        <v>20425</v>
      </c>
      <c r="B75" s="3" t="inlineStr">
        <is>
          <t>BIB COCKTAIL STELLA S/ALCOHOL</t>
        </is>
      </c>
      <c r="C75" s="3" t="n">
        <v>0</v>
      </c>
      <c r="D75" s="8" t="inlineStr">
        <is>
          <t>LITRO</t>
        </is>
      </c>
      <c r="E75" s="9" t="n">
        <v>5.785599</v>
      </c>
      <c r="F75" s="10">
        <f>C75*E75</f>
        <v/>
      </c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3">
        <f>SUM(G75:AK75)</f>
        <v/>
      </c>
      <c r="AM75" s="24">
        <f>SUM(C75,AL75)</f>
        <v/>
      </c>
      <c r="AN75" s="25">
        <f>E75*AM75</f>
        <v/>
      </c>
    </row>
    <row r="76" ht="25.05" customHeight="1">
      <c r="A76" s="3" t="n">
        <v>24747</v>
      </c>
      <c r="B76" s="3" t="inlineStr">
        <is>
          <t>COCKTAIL CONCENTRADO FRUIT PUNCH S/ALCOHOL 10 LT</t>
        </is>
      </c>
      <c r="C76" s="3" t="n">
        <v>0</v>
      </c>
      <c r="D76" s="8" t="inlineStr">
        <is>
          <t>LITRO</t>
        </is>
      </c>
      <c r="E76" s="9" t="n">
        <v>5.7856</v>
      </c>
      <c r="F76" s="10">
        <f>C76*E76</f>
        <v/>
      </c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3">
        <f>SUM(G76:AK76)</f>
        <v/>
      </c>
      <c r="AM76" s="24">
        <f>SUM(C76,AL76)</f>
        <v/>
      </c>
      <c r="AN76" s="25">
        <f>E76*AM76</f>
        <v/>
      </c>
    </row>
    <row r="77" ht="25.05" customHeight="1">
      <c r="A77" s="3" t="n">
        <v>51</v>
      </c>
      <c r="B77" s="3" t="inlineStr">
        <is>
          <t>JARABE GRANADINA 100 CL</t>
        </is>
      </c>
      <c r="C77" s="3" t="n">
        <v>0</v>
      </c>
      <c r="D77" s="8" t="inlineStr">
        <is>
          <t>BOTELLA</t>
        </is>
      </c>
      <c r="E77" s="9" t="n">
        <v>3.060823</v>
      </c>
      <c r="F77" s="10">
        <f>C77*E77</f>
        <v/>
      </c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3">
        <f>SUM(G77:AK77)</f>
        <v/>
      </c>
      <c r="AM77" s="24">
        <f>SUM(C77,AL77)</f>
        <v/>
      </c>
      <c r="AN77" s="25">
        <f>E77*AM77</f>
        <v/>
      </c>
    </row>
    <row r="78" ht="25.05" customHeight="1">
      <c r="A78" s="3" t="n">
        <v>952</v>
      </c>
      <c r="B78" s="3" t="inlineStr">
        <is>
          <t>JARABE LIME JUICE 100 CL</t>
        </is>
      </c>
      <c r="C78" s="3" t="n">
        <v>0</v>
      </c>
      <c r="D78" s="8" t="inlineStr">
        <is>
          <t>BOTELLA</t>
        </is>
      </c>
      <c r="E78" s="9" t="n">
        <v>2.63</v>
      </c>
      <c r="F78" s="10">
        <f>C78*E78</f>
        <v/>
      </c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3">
        <f>SUM(G78:AK78)</f>
        <v/>
      </c>
      <c r="AM78" s="24">
        <f>SUM(C78,AL78)</f>
        <v/>
      </c>
      <c r="AN78" s="25">
        <f>E78*AM78</f>
        <v/>
      </c>
    </row>
    <row r="79" ht="25.05" customHeight="1">
      <c r="A79" s="3" t="n">
        <v>173</v>
      </c>
      <c r="B79" s="3" t="inlineStr">
        <is>
          <t>REFRESCO BIB COCA COLA</t>
        </is>
      </c>
      <c r="C79" s="3" t="n">
        <v>0</v>
      </c>
      <c r="D79" s="8" t="inlineStr">
        <is>
          <t>LITRO</t>
        </is>
      </c>
      <c r="E79" s="9" t="n">
        <v>7.021113</v>
      </c>
      <c r="F79" s="10">
        <f>C79*E79</f>
        <v/>
      </c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3">
        <f>SUM(G79:AK79)</f>
        <v/>
      </c>
      <c r="AM79" s="24">
        <f>SUM(C79,AL79)</f>
        <v/>
      </c>
      <c r="AN79" s="25">
        <f>E79*AM79</f>
        <v/>
      </c>
    </row>
    <row r="80" ht="25.05" customHeight="1">
      <c r="A80" s="3" t="n">
        <v>9155</v>
      </c>
      <c r="B80" s="3" t="inlineStr">
        <is>
          <t>REFRESCO BIB COCA COLA ZERO</t>
        </is>
      </c>
      <c r="C80" s="3" t="n">
        <v>0</v>
      </c>
      <c r="D80" s="8" t="inlineStr">
        <is>
          <t>LITRO</t>
        </is>
      </c>
      <c r="E80" s="9" t="n">
        <v>7.017727</v>
      </c>
      <c r="F80" s="10">
        <f>C80*E80</f>
        <v/>
      </c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3">
        <f>SUM(G80:AK80)</f>
        <v/>
      </c>
      <c r="AM80" s="24">
        <f>SUM(C80,AL80)</f>
        <v/>
      </c>
      <c r="AN80" s="25">
        <f>E80*AM80</f>
        <v/>
      </c>
    </row>
    <row r="81" ht="25.05" customHeight="1">
      <c r="A81" s="3" t="n">
        <v>21366</v>
      </c>
      <c r="B81" s="3" t="inlineStr">
        <is>
          <t>REFRESCO BIB FANTA LIMON ZERO</t>
        </is>
      </c>
      <c r="C81" s="3" t="n">
        <v>0</v>
      </c>
      <c r="D81" s="8" t="inlineStr">
        <is>
          <t>LITRO</t>
        </is>
      </c>
      <c r="E81" s="9" t="n">
        <v>5.971363</v>
      </c>
      <c r="F81" s="10">
        <f>C81*E81</f>
        <v/>
      </c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3">
        <f>SUM(G81:AK81)</f>
        <v/>
      </c>
      <c r="AM81" s="24">
        <f>SUM(C81,AL81)</f>
        <v/>
      </c>
      <c r="AN81" s="25">
        <f>E81*AM81</f>
        <v/>
      </c>
    </row>
    <row r="82" ht="25.05" customHeight="1">
      <c r="A82" s="3" t="n">
        <v>21367</v>
      </c>
      <c r="B82" s="3" t="inlineStr">
        <is>
          <t>REFRESCO BIB FANTA NARANJA ZERO</t>
        </is>
      </c>
      <c r="C82" s="3" t="n">
        <v>0</v>
      </c>
      <c r="D82" s="8" t="inlineStr">
        <is>
          <t>LITRO</t>
        </is>
      </c>
      <c r="E82" s="9" t="n">
        <v>5.970082</v>
      </c>
      <c r="F82" s="10">
        <f>C82*E82</f>
        <v/>
      </c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3">
        <f>SUM(G82:AK82)</f>
        <v/>
      </c>
      <c r="AM82" s="24">
        <f>SUM(C82,AL82)</f>
        <v/>
      </c>
      <c r="AN82" s="25">
        <f>E82*AM82</f>
        <v/>
      </c>
    </row>
    <row r="83" ht="25.05" customHeight="1">
      <c r="A83" s="3" t="n">
        <v>7563</v>
      </c>
      <c r="B83" s="3" t="inlineStr">
        <is>
          <t>REFRESCO BIB SAN FRANCISCO FREE S/ALCOHOL</t>
        </is>
      </c>
      <c r="C83" s="3" t="n">
        <v>0</v>
      </c>
      <c r="D83" s="8" t="inlineStr">
        <is>
          <t>LITRO</t>
        </is>
      </c>
      <c r="E83" s="9" t="n">
        <v>5.785597</v>
      </c>
      <c r="F83" s="10">
        <f>C83*E83</f>
        <v/>
      </c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3">
        <f>SUM(G83:AK83)</f>
        <v/>
      </c>
      <c r="AM83" s="24">
        <f>SUM(C83,AL83)</f>
        <v/>
      </c>
      <c r="AN83" s="25">
        <f>E83*AM83</f>
        <v/>
      </c>
    </row>
    <row r="84" ht="25.05" customHeight="1">
      <c r="A84" s="3" t="n">
        <v>26662</v>
      </c>
      <c r="B84" s="3" t="inlineStr">
        <is>
          <t>REFRESCO BIB SPRITE ZERO</t>
        </is>
      </c>
      <c r="C84" s="3" t="n">
        <v>0</v>
      </c>
      <c r="D84" s="8" t="inlineStr">
        <is>
          <t>LITRO</t>
        </is>
      </c>
      <c r="E84" s="9" t="n">
        <v>7.064839</v>
      </c>
      <c r="F84" s="10">
        <f>C84*E84</f>
        <v/>
      </c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3">
        <f>SUM(G84:AK84)</f>
        <v/>
      </c>
      <c r="AM84" s="24">
        <f>SUM(C84,AL84)</f>
        <v/>
      </c>
      <c r="AN84" s="25">
        <f>E84*AM84</f>
        <v/>
      </c>
    </row>
    <row r="85" ht="25.05" customHeight="1">
      <c r="A85" s="3" t="n">
        <v>4098</v>
      </c>
      <c r="B85" s="3" t="inlineStr">
        <is>
          <t>REFRESCO BIB TONICA NORDIC MIST</t>
        </is>
      </c>
      <c r="C85" s="3" t="n">
        <v>0</v>
      </c>
      <c r="D85" s="8" t="inlineStr">
        <is>
          <t>LITRO</t>
        </is>
      </c>
      <c r="E85" s="9" t="n">
        <v>7.680572</v>
      </c>
      <c r="F85" s="10">
        <f>C85*E85</f>
        <v/>
      </c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3">
        <f>SUM(G85:AK85)</f>
        <v/>
      </c>
      <c r="AM85" s="24">
        <f>SUM(C85,AL85)</f>
        <v/>
      </c>
      <c r="AN85" s="25">
        <f>E85*AM85</f>
        <v/>
      </c>
    </row>
    <row r="86" ht="25.05" customHeight="1">
      <c r="A86" s="3" t="n">
        <v>27731</v>
      </c>
      <c r="B86" s="3" t="inlineStr">
        <is>
          <t>REFRESCO BIB FUZE TEA LIMON S/AZUCAR</t>
        </is>
      </c>
      <c r="C86" s="3" t="n">
        <v>0</v>
      </c>
      <c r="D86" s="8" t="inlineStr">
        <is>
          <t>LITRO</t>
        </is>
      </c>
      <c r="E86" s="9" t="n">
        <v>9.010847</v>
      </c>
      <c r="F86" s="10">
        <f>C86*E86</f>
        <v/>
      </c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3">
        <f>SUM(G86:AK86)</f>
        <v/>
      </c>
      <c r="AM86" s="24">
        <f>SUM(C86,AL86)</f>
        <v/>
      </c>
      <c r="AN86" s="25">
        <f>E86*AM86</f>
        <v/>
      </c>
    </row>
    <row r="87" ht="25.05" customHeight="1">
      <c r="A87" s="3" t="n">
        <v>128</v>
      </c>
      <c r="B87" s="3" t="inlineStr">
        <is>
          <t>RON BACARDI 100 CL</t>
        </is>
      </c>
      <c r="C87" s="3" t="n">
        <v>0</v>
      </c>
      <c r="D87" s="8" t="inlineStr">
        <is>
          <t>BOTELLA</t>
        </is>
      </c>
      <c r="E87" s="9" t="n">
        <v>13.1</v>
      </c>
      <c r="F87" s="10">
        <f>C87*E87</f>
        <v/>
      </c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3">
        <f>SUM(G87:AK87)</f>
        <v/>
      </c>
      <c r="AM87" s="24">
        <f>SUM(C87,AL87)</f>
        <v/>
      </c>
      <c r="AN87" s="25">
        <f>E87*AM87</f>
        <v/>
      </c>
    </row>
    <row r="88" ht="25.05" customHeight="1">
      <c r="A88" s="3" t="n">
        <v>987035</v>
      </c>
      <c r="B88" s="3" t="inlineStr">
        <is>
          <t>RON BACARDI SPICED 70 CL</t>
        </is>
      </c>
      <c r="C88" s="3" t="n">
        <v>0</v>
      </c>
      <c r="D88" s="8" t="inlineStr">
        <is>
          <t>BOTELLA</t>
        </is>
      </c>
      <c r="E88" s="9" t="n">
        <v>11.5</v>
      </c>
      <c r="F88" s="10">
        <f>C88*E88</f>
        <v/>
      </c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3">
        <f>SUM(G88:AK88)</f>
        <v/>
      </c>
      <c r="AM88" s="24">
        <f>SUM(C88,AL88)</f>
        <v/>
      </c>
      <c r="AN88" s="25">
        <f>E88*AM88</f>
        <v/>
      </c>
    </row>
    <row r="89" ht="25.05" customHeight="1">
      <c r="A89" s="3" t="n">
        <v>6991</v>
      </c>
      <c r="B89" s="3" t="inlineStr">
        <is>
          <t>RON BARCELO AÑEJO 70 CL</t>
        </is>
      </c>
      <c r="C89" s="3" t="n">
        <v>0</v>
      </c>
      <c r="D89" s="8" t="inlineStr">
        <is>
          <t>BOTELLA</t>
        </is>
      </c>
      <c r="E89" s="9" t="n">
        <v>11.994908</v>
      </c>
      <c r="F89" s="10">
        <f>C89*E89</f>
        <v/>
      </c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3">
        <f>SUM(G89:AK89)</f>
        <v/>
      </c>
      <c r="AM89" s="24">
        <f>SUM(C89,AL89)</f>
        <v/>
      </c>
      <c r="AN89" s="25">
        <f>E89*AM89</f>
        <v/>
      </c>
    </row>
    <row r="90" ht="25.05" customHeight="1">
      <c r="A90" s="3" t="n">
        <v>909569</v>
      </c>
      <c r="B90" s="3" t="inlineStr">
        <is>
          <t>RON SANTA TERESA GRAN RVA 75 CL</t>
        </is>
      </c>
      <c r="C90" s="3" t="n">
        <v>0</v>
      </c>
      <c r="D90" s="8" t="inlineStr">
        <is>
          <t>BOTELLA</t>
        </is>
      </c>
      <c r="E90" s="9" t="n">
        <v>12.605797</v>
      </c>
      <c r="F90" s="10">
        <f>C90*E90</f>
        <v/>
      </c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3">
        <f>SUM(G90:AK90)</f>
        <v/>
      </c>
      <c r="AM90" s="24">
        <f>SUM(C90,AL90)</f>
        <v/>
      </c>
      <c r="AN90" s="25">
        <f>E90*AM90</f>
        <v/>
      </c>
    </row>
    <row r="91" ht="25.05" customHeight="1">
      <c r="A91" s="3" t="n">
        <v>15594</v>
      </c>
      <c r="B91" s="3" t="inlineStr">
        <is>
          <t>VINO RDO CARPATHIA 75 CL</t>
        </is>
      </c>
      <c r="C91" s="3" t="n">
        <v>0</v>
      </c>
      <c r="D91" s="8" t="inlineStr">
        <is>
          <t>BOTELLA</t>
        </is>
      </c>
      <c r="E91" s="9" t="n">
        <v>2.054</v>
      </c>
      <c r="F91" s="10">
        <f>C91*E91</f>
        <v/>
      </c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3">
        <f>SUM(G91:AK91)</f>
        <v/>
      </c>
      <c r="AM91" s="24">
        <f>SUM(C91,AL91)</f>
        <v/>
      </c>
      <c r="AN91" s="25">
        <f>E91*AM91</f>
        <v/>
      </c>
    </row>
    <row r="92" ht="25.05" customHeight="1">
      <c r="A92" s="3" t="n">
        <v>14989</v>
      </c>
      <c r="B92" s="3" t="inlineStr">
        <is>
          <t>VINO RDO PARAMUS 75 CL</t>
        </is>
      </c>
      <c r="C92" s="3" t="n">
        <v>0</v>
      </c>
      <c r="D92" s="8" t="inlineStr">
        <is>
          <t>BOTELLA</t>
        </is>
      </c>
      <c r="E92" s="9" t="n">
        <v>1.848992</v>
      </c>
      <c r="F92" s="10">
        <f>C92*E92</f>
        <v/>
      </c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3">
        <f>SUM(G92:AK92)</f>
        <v/>
      </c>
      <c r="AM92" s="24">
        <f>SUM(C92,AL92)</f>
        <v/>
      </c>
      <c r="AN92" s="25">
        <f>E92*AM92</f>
        <v/>
      </c>
    </row>
    <row r="93" ht="25.05" customHeight="1">
      <c r="A93" s="3" t="n">
        <v>4816</v>
      </c>
      <c r="B93" s="3" t="inlineStr">
        <is>
          <t>BIB SANGRIA ESPECIAL 9º</t>
        </is>
      </c>
      <c r="C93" s="3" t="n">
        <v>0</v>
      </c>
      <c r="D93" s="8" t="inlineStr">
        <is>
          <t>LITRO</t>
        </is>
      </c>
      <c r="E93" s="9" t="n">
        <v>1.2105</v>
      </c>
      <c r="F93" s="10">
        <f>C93*E93</f>
        <v/>
      </c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3">
        <f>SUM(G93:AK93)</f>
        <v/>
      </c>
      <c r="AM93" s="24">
        <f>SUM(C93,AL93)</f>
        <v/>
      </c>
      <c r="AN93" s="25">
        <f>E93*AM93</f>
        <v/>
      </c>
    </row>
    <row r="94" ht="25.05" customHeight="1">
      <c r="A94" s="3" t="n">
        <v>4815</v>
      </c>
      <c r="B94" s="3" t="inlineStr">
        <is>
          <t>BIB VINO BCO 12º</t>
        </is>
      </c>
      <c r="C94" s="3" t="n">
        <v>0</v>
      </c>
      <c r="D94" s="8" t="inlineStr">
        <is>
          <t>LITRO</t>
        </is>
      </c>
      <c r="E94" s="9" t="n">
        <v>1.118</v>
      </c>
      <c r="F94" s="10">
        <f>C94*E94</f>
        <v/>
      </c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3">
        <f>SUM(G94:AK94)</f>
        <v/>
      </c>
      <c r="AM94" s="24">
        <f>SUM(C94,AL94)</f>
        <v/>
      </c>
      <c r="AN94" s="25">
        <f>E94*AM94</f>
        <v/>
      </c>
    </row>
    <row r="95" ht="25.05" customHeight="1">
      <c r="A95" s="3" t="n">
        <v>4840</v>
      </c>
      <c r="B95" s="3" t="inlineStr">
        <is>
          <t>BIB VINO TTO 12º</t>
        </is>
      </c>
      <c r="C95" s="3" t="n">
        <v>0</v>
      </c>
      <c r="D95" s="8" t="inlineStr">
        <is>
          <t>LITRO</t>
        </is>
      </c>
      <c r="E95" s="9" t="n">
        <v>1.118</v>
      </c>
      <c r="F95" s="10">
        <f>C95*E95</f>
        <v/>
      </c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3">
        <f>SUM(G95:AK95)</f>
        <v/>
      </c>
      <c r="AM95" s="24">
        <f>SUM(C95,AL95)</f>
        <v/>
      </c>
      <c r="AN95" s="25">
        <f>E95*AM95</f>
        <v/>
      </c>
    </row>
    <row r="96" ht="25.05" customHeight="1">
      <c r="A96" s="3" t="n">
        <v>9407</v>
      </c>
      <c r="B96" s="3" t="inlineStr">
        <is>
          <t>VODKA ABSOLUT AZUL 70 CL</t>
        </is>
      </c>
      <c r="C96" s="3" t="n">
        <v>0</v>
      </c>
      <c r="D96" s="8" t="inlineStr">
        <is>
          <t>BOTELLA</t>
        </is>
      </c>
      <c r="E96" s="9" t="n">
        <v>10.450029</v>
      </c>
      <c r="F96" s="10">
        <f>C96*E96</f>
        <v/>
      </c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3">
        <f>SUM(G96:AK96)</f>
        <v/>
      </c>
      <c r="AM96" s="24">
        <f>SUM(C96,AL96)</f>
        <v/>
      </c>
      <c r="AN96" s="25">
        <f>E96*AM96</f>
        <v/>
      </c>
    </row>
    <row r="97" ht="25.05" customHeight="1">
      <c r="A97" s="3" t="n">
        <v>35</v>
      </c>
      <c r="B97" s="3" t="inlineStr">
        <is>
          <t>WHISKY BALLANTINES 70 CL</t>
        </is>
      </c>
      <c r="C97" s="3" t="n">
        <v>0</v>
      </c>
      <c r="D97" s="8" t="inlineStr">
        <is>
          <t>BOTELLA</t>
        </is>
      </c>
      <c r="E97" s="9" t="n">
        <v>11.119999</v>
      </c>
      <c r="F97" s="10">
        <f>C97*E97</f>
        <v/>
      </c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3">
        <f>SUM(G97:AK97)</f>
        <v/>
      </c>
      <c r="AM97" s="24">
        <f>SUM(C97,AL97)</f>
        <v/>
      </c>
      <c r="AN97" s="25">
        <f>E97*AM97</f>
        <v/>
      </c>
    </row>
    <row r="98" ht="25.05" customHeight="1">
      <c r="A98" s="3" t="n">
        <v>39</v>
      </c>
      <c r="B98" s="3" t="inlineStr">
        <is>
          <t>WHISKY JIM BEAM 70 CL</t>
        </is>
      </c>
      <c r="C98" s="3" t="n">
        <v>0</v>
      </c>
      <c r="D98" s="8" t="inlineStr">
        <is>
          <t>BOTELLA</t>
        </is>
      </c>
      <c r="E98" s="9" t="n">
        <v>12.82</v>
      </c>
      <c r="F98" s="10">
        <f>C98*E98</f>
        <v/>
      </c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3">
        <f>SUM(G98:AK98)</f>
        <v/>
      </c>
      <c r="AM98" s="24">
        <f>SUM(C98,AL98)</f>
        <v/>
      </c>
      <c r="AN98" s="25">
        <f>E98*AM98</f>
        <v/>
      </c>
    </row>
    <row r="99" ht="25.05" customHeight="1">
      <c r="A99" s="3" t="n">
        <v>15</v>
      </c>
      <c r="B99" s="3" t="inlineStr">
        <is>
          <t>WHISKY JOHNNIE WALKER RED LABEL 70 CL</t>
        </is>
      </c>
      <c r="C99" s="3" t="n">
        <v>0</v>
      </c>
      <c r="D99" s="8" t="inlineStr">
        <is>
          <t>BOTELLA</t>
        </is>
      </c>
      <c r="E99" s="9" t="n">
        <v>10.499969</v>
      </c>
      <c r="F99" s="10">
        <f>C99*E99</f>
        <v/>
      </c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3">
        <f>SUM(G99:AK99)</f>
        <v/>
      </c>
      <c r="AM99" s="24">
        <f>SUM(C99,AL99)</f>
        <v/>
      </c>
      <c r="AN99" s="25">
        <f>E99*AM99</f>
        <v/>
      </c>
    </row>
    <row r="100" ht="25.05" customHeight="1">
      <c r="A100" s="3" t="n">
        <v>23137</v>
      </c>
      <c r="B100" s="3" t="inlineStr">
        <is>
          <t>BIB ZUMO CONCENTRADO 100% MANZANA 10 LT</t>
        </is>
      </c>
      <c r="C100" s="3" t="n">
        <v>0</v>
      </c>
      <c r="D100" s="8" t="inlineStr">
        <is>
          <t>LITRO</t>
        </is>
      </c>
      <c r="E100" s="9" t="n">
        <v>4.998</v>
      </c>
      <c r="F100" s="10">
        <f>C100*E100</f>
        <v/>
      </c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3">
        <f>SUM(G100:AK100)</f>
        <v/>
      </c>
      <c r="AM100" s="24">
        <f>SUM(C100,AL100)</f>
        <v/>
      </c>
      <c r="AN100" s="25">
        <f>E100*AM100</f>
        <v/>
      </c>
    </row>
    <row r="101" ht="25.05" customHeight="1">
      <c r="A101" s="3" t="n">
        <v>23136</v>
      </c>
      <c r="B101" s="3" t="inlineStr">
        <is>
          <t>BIB ZUMO CONCENTRADO NARANJA 100% 10 LT</t>
        </is>
      </c>
      <c r="C101" s="3" t="n">
        <v>0</v>
      </c>
      <c r="D101" s="8" t="inlineStr">
        <is>
          <t>LITRO</t>
        </is>
      </c>
      <c r="E101" s="9" t="n">
        <v>7.499999</v>
      </c>
      <c r="F101" s="10">
        <f>C101*E101</f>
        <v/>
      </c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3">
        <f>SUM(G101:AK101)</f>
        <v/>
      </c>
      <c r="AM101" s="24">
        <f>SUM(C101,AL101)</f>
        <v/>
      </c>
      <c r="AN101" s="25">
        <f>E101*AM101</f>
        <v/>
      </c>
    </row>
    <row r="102" ht="25.05" customHeight="1">
      <c r="A102" s="3" t="n">
        <v>23139</v>
      </c>
      <c r="B102" s="3" t="inlineStr">
        <is>
          <t>BIB ZUMO CONCENTRADO PIÑA 100% 10 LT</t>
        </is>
      </c>
      <c r="C102" s="3" t="n">
        <v>0</v>
      </c>
      <c r="D102" s="8" t="inlineStr">
        <is>
          <t>LITRO</t>
        </is>
      </c>
      <c r="E102" s="9" t="n">
        <v>5.658989</v>
      </c>
      <c r="F102" s="10">
        <f>C102*E102</f>
        <v/>
      </c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3">
        <f>SUM(G102:AK102)</f>
        <v/>
      </c>
      <c r="AM102" s="24">
        <f>SUM(C102,AL102)</f>
        <v/>
      </c>
      <c r="AN102" s="25">
        <f>E102*AM102</f>
        <v/>
      </c>
    </row>
    <row r="103" ht="25.05" customHeight="1">
      <c r="A103" s="27" t="inlineStr">
        <is>
          <t>58</t>
        </is>
      </c>
      <c r="B103" s="3" t="inlineStr">
        <is>
          <t>RON HAVANA CLUB 3 AÑOS 70 CL</t>
        </is>
      </c>
      <c r="C103" s="3" t="n">
        <v>0</v>
      </c>
      <c r="D103" s="8" t="inlineStr">
        <is>
          <t>BOTELLA</t>
        </is>
      </c>
      <c r="E103" s="9" t="n">
        <v>10.29</v>
      </c>
      <c r="F103" s="10">
        <f>C103*E103</f>
        <v/>
      </c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3">
        <f>SUM(G103:AK103)</f>
        <v/>
      </c>
      <c r="AM103" s="24">
        <f>SUM(C103,AL103)</f>
        <v/>
      </c>
      <c r="AN103" s="25">
        <f>E103*AM103</f>
        <v/>
      </c>
    </row>
    <row r="104" ht="25.05" customHeight="1">
      <c r="A104" s="27" t="inlineStr">
        <is>
          <t>101</t>
        </is>
      </c>
      <c r="B104" s="3" t="inlineStr">
        <is>
          <t>APERITIVO MARTINI BLANCO SECO 100 CL</t>
        </is>
      </c>
      <c r="C104" s="3" t="n">
        <v>0</v>
      </c>
      <c r="D104" s="8" t="inlineStr">
        <is>
          <t>BOTELLA</t>
        </is>
      </c>
      <c r="E104" s="9" t="n">
        <v>8.42225</v>
      </c>
      <c r="F104" s="10">
        <f>C104*E104</f>
        <v/>
      </c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3">
        <f>SUM(G104:AK104)</f>
        <v/>
      </c>
      <c r="AM104" s="24">
        <f>SUM(C104,AL104)</f>
        <v/>
      </c>
      <c r="AN104" s="25">
        <f>E104*AM104</f>
        <v/>
      </c>
    </row>
    <row r="105" ht="25.05" customHeight="1">
      <c r="A105" s="27" t="inlineStr">
        <is>
          <t>28190</t>
        </is>
      </c>
      <c r="B105" s="3" t="inlineStr">
        <is>
          <t>BIB COCKTAIL DAIQUIRI LIMON C/ALCOHOL FROZEN</t>
        </is>
      </c>
      <c r="C105" s="3" t="n">
        <v>0</v>
      </c>
      <c r="D105" s="8" t="inlineStr">
        <is>
          <t>LITRO</t>
        </is>
      </c>
      <c r="E105" s="9" t="n">
        <v>10.1637</v>
      </c>
      <c r="F105" s="10">
        <f>C105*E105</f>
        <v/>
      </c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3">
        <f>SUM(G105:AK105)</f>
        <v/>
      </c>
      <c r="AM105" s="24">
        <f>SUM(C105,AL105)</f>
        <v/>
      </c>
      <c r="AN105" s="25">
        <f>E105*AM105</f>
        <v/>
      </c>
    </row>
    <row r="106" ht="25.05" customHeight="1">
      <c r="A106" s="27" t="inlineStr">
        <is>
          <t>4107</t>
        </is>
      </c>
      <c r="B106" s="3" t="inlineStr">
        <is>
          <t>WHISKY DEWARS WHITE LABEL 70 CL</t>
        </is>
      </c>
      <c r="C106" s="3" t="n">
        <v>0</v>
      </c>
      <c r="D106" s="8" t="inlineStr">
        <is>
          <t>BOTELLA</t>
        </is>
      </c>
      <c r="E106" s="9" t="n">
        <v>10.82118</v>
      </c>
      <c r="F106" s="10">
        <f>C106*E106</f>
        <v/>
      </c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3">
        <f>SUM(G106:AK106)</f>
        <v/>
      </c>
      <c r="AM106" s="24">
        <f>SUM(C106,AL106)</f>
        <v/>
      </c>
      <c r="AN106" s="25">
        <f>E106*AM106</f>
        <v/>
      </c>
    </row>
    <row r="107" ht="25.05" customHeight="1">
      <c r="A107" s="27" t="inlineStr">
        <is>
          <t>30756</t>
        </is>
      </c>
      <c r="B107" s="27" t="inlineStr">
        <is>
          <t>AZUCAR TERRON BLANCO 4 GR</t>
        </is>
      </c>
      <c r="C107" s="3" t="n">
        <v>0</v>
      </c>
      <c r="D107" s="33" t="inlineStr">
        <is>
          <t>UNIDAD</t>
        </is>
      </c>
      <c r="E107" s="9" t="n">
        <v>0.01037</v>
      </c>
      <c r="F107" s="10">
        <f>C107*E107</f>
        <v/>
      </c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3">
        <f>SUM(G107:AK107)</f>
        <v/>
      </c>
      <c r="AM107" s="24">
        <f>SUM(C107,AL107)</f>
        <v/>
      </c>
      <c r="AN107" s="25">
        <f>E107*AM107</f>
        <v/>
      </c>
    </row>
    <row r="108" ht="25.05" customHeight="1">
      <c r="A108" s="27" t="inlineStr">
        <is>
          <t>2715</t>
        </is>
      </c>
      <c r="B108" s="27" t="inlineStr">
        <is>
          <t>CONO HELADO 45 MM</t>
        </is>
      </c>
      <c r="C108" s="3" t="n">
        <v>0</v>
      </c>
      <c r="D108" s="33" t="inlineStr">
        <is>
          <t>UNIDAD</t>
        </is>
      </c>
      <c r="E108" s="9" t="n">
        <v>0.16584</v>
      </c>
      <c r="F108" s="10">
        <f>C108*E108</f>
        <v/>
      </c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3">
        <f>SUM(G108:AK108)</f>
        <v/>
      </c>
      <c r="AM108" s="24">
        <f>SUM(C108,AL108)</f>
        <v/>
      </c>
      <c r="AN108" s="25">
        <f>E108*AM108</f>
        <v/>
      </c>
    </row>
    <row r="109" ht="25.05" customHeight="1">
      <c r="A109" s="27" t="inlineStr">
        <is>
          <t>17116</t>
        </is>
      </c>
      <c r="B109" s="27" t="inlineStr">
        <is>
          <t>HELADO GRANEL PREMIUM VAINILLA</t>
        </is>
      </c>
      <c r="C109" s="3" t="n">
        <v>0</v>
      </c>
      <c r="D109" s="33" t="inlineStr">
        <is>
          <t>LITRO</t>
        </is>
      </c>
      <c r="E109" s="9" t="n">
        <v>3.82304</v>
      </c>
      <c r="F109" s="10">
        <f>C109*E109</f>
        <v/>
      </c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3">
        <f>SUM(G109:AK109)</f>
        <v/>
      </c>
      <c r="AM109" s="24">
        <f>SUM(C109,AL109)</f>
        <v/>
      </c>
      <c r="AN109" s="25">
        <f>E109*AM109</f>
        <v/>
      </c>
    </row>
    <row r="110" ht="25.05" customHeight="1">
      <c r="A110" s="27" t="inlineStr">
        <is>
          <t>22213</t>
        </is>
      </c>
      <c r="B110" s="27" t="inlineStr">
        <is>
          <t>HELADO GRANEL ESPECIAL TURRON</t>
        </is>
      </c>
      <c r="C110" s="3" t="n">
        <v>0</v>
      </c>
      <c r="D110" s="33" t="inlineStr">
        <is>
          <t>LITRO</t>
        </is>
      </c>
      <c r="E110" s="9" t="n">
        <v>4.84</v>
      </c>
      <c r="F110" s="10">
        <f>C110*E110</f>
        <v/>
      </c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3">
        <f>SUM(G110:AK110)</f>
        <v/>
      </c>
      <c r="AM110" s="24">
        <f>SUM(C110,AL110)</f>
        <v/>
      </c>
      <c r="AN110" s="25">
        <f>E110*AM110</f>
        <v/>
      </c>
    </row>
    <row r="111" ht="25.05" customHeight="1">
      <c r="A111" s="27" t="inlineStr">
        <is>
          <t>22218</t>
        </is>
      </c>
      <c r="B111" s="27" t="inlineStr">
        <is>
          <t>HELADO GRANEL ESPECIAL GALLETA MARIA</t>
        </is>
      </c>
      <c r="C111" s="3" t="n">
        <v>0</v>
      </c>
      <c r="D111" s="33" t="inlineStr">
        <is>
          <t>LITRO</t>
        </is>
      </c>
      <c r="E111" s="9" t="n">
        <v>5.09271</v>
      </c>
      <c r="F111" s="10">
        <f>C111*E111</f>
        <v/>
      </c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3">
        <f>SUM(G111:AK111)</f>
        <v/>
      </c>
      <c r="AM111" s="24">
        <f>SUM(C111,AL111)</f>
        <v/>
      </c>
      <c r="AN111" s="25">
        <f>E111*AM111</f>
        <v/>
      </c>
    </row>
    <row r="112" ht="25.05" customHeight="1">
      <c r="A112" s="27" t="inlineStr">
        <is>
          <t>22219</t>
        </is>
      </c>
      <c r="B112" s="27" t="inlineStr">
        <is>
          <t>HELADO GRANEL ESPECIAL PISTACHO</t>
        </is>
      </c>
      <c r="C112" s="3" t="n">
        <v>0</v>
      </c>
      <c r="D112" s="33" t="inlineStr">
        <is>
          <t>LITRO</t>
        </is>
      </c>
      <c r="E112" s="9" t="n">
        <v>5.10031</v>
      </c>
      <c r="F112" s="10">
        <f>C112*E112</f>
        <v/>
      </c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3">
        <f>SUM(G112:AK112)</f>
        <v/>
      </c>
      <c r="AM112" s="24">
        <f>SUM(C112,AL112)</f>
        <v/>
      </c>
      <c r="AN112" s="25">
        <f>E112*AM112</f>
        <v/>
      </c>
    </row>
    <row r="113" ht="25.05" customHeight="1">
      <c r="A113" s="27" t="inlineStr">
        <is>
          <t>22245</t>
        </is>
      </c>
      <c r="B113" s="27" t="inlineStr">
        <is>
          <t>HELADO GRANEL ESPECIAL CHEESECAKE</t>
        </is>
      </c>
      <c r="C113" s="3" t="n">
        <v>0</v>
      </c>
      <c r="D113" s="33" t="inlineStr">
        <is>
          <t>LITRO</t>
        </is>
      </c>
      <c r="E113" s="9" t="n">
        <v>4.58173</v>
      </c>
      <c r="F113" s="10">
        <f>C113*E113</f>
        <v/>
      </c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3">
        <f>SUM(G113:AK113)</f>
        <v/>
      </c>
      <c r="AM113" s="24">
        <f>SUM(C113,AL113)</f>
        <v/>
      </c>
      <c r="AN113" s="25">
        <f>E113*AM113</f>
        <v/>
      </c>
    </row>
    <row r="114" ht="25.05" customHeight="1">
      <c r="A114" s="27" t="inlineStr">
        <is>
          <t>22246</t>
        </is>
      </c>
      <c r="B114" s="27" t="inlineStr">
        <is>
          <t>HELADO GRANEL ESPECIAL KIT-KAT</t>
        </is>
      </c>
      <c r="C114" s="3" t="n">
        <v>0</v>
      </c>
      <c r="D114" s="33" t="inlineStr">
        <is>
          <t>LITRO</t>
        </is>
      </c>
      <c r="E114" s="9" t="n">
        <v>4.8</v>
      </c>
      <c r="F114" s="10">
        <f>C114*E114</f>
        <v/>
      </c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3">
        <f>SUM(G114:AK114)</f>
        <v/>
      </c>
      <c r="AM114" s="24">
        <f>SUM(C114,AL114)</f>
        <v/>
      </c>
      <c r="AN114" s="25">
        <f>E114*AM114</f>
        <v/>
      </c>
    </row>
    <row r="115" ht="25.05" customHeight="1">
      <c r="A115" s="27" t="inlineStr">
        <is>
          <t>22251</t>
        </is>
      </c>
      <c r="B115" s="27" t="inlineStr">
        <is>
          <t>HELADO GRANEL ESPECIAL DULCE DE LECHE</t>
        </is>
      </c>
      <c r="C115" s="3" t="n">
        <v>0</v>
      </c>
      <c r="D115" s="33" t="inlineStr">
        <is>
          <t>LITRO</t>
        </is>
      </c>
      <c r="E115" s="9" t="n">
        <v>4.58173</v>
      </c>
      <c r="F115" s="10">
        <f>C115*E115</f>
        <v/>
      </c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3">
        <f>SUM(G115:AK115)</f>
        <v/>
      </c>
      <c r="AM115" s="24">
        <f>SUM(C115,AL115)</f>
        <v/>
      </c>
      <c r="AN115" s="25">
        <f>E115*AM115</f>
        <v/>
      </c>
    </row>
    <row r="116" ht="25.05" customHeight="1">
      <c r="A116" s="27" t="inlineStr">
        <is>
          <t>23557</t>
        </is>
      </c>
      <c r="B116" s="27" t="inlineStr">
        <is>
          <t>HELADO GRANEL ESPECIAL NATA C/NUECES</t>
        </is>
      </c>
      <c r="C116" s="3" t="n">
        <v>0</v>
      </c>
      <c r="D116" s="33" t="inlineStr">
        <is>
          <t>LITRO</t>
        </is>
      </c>
      <c r="E116" s="9" t="n">
        <v>5.09271</v>
      </c>
      <c r="F116" s="10">
        <f>C116*E116</f>
        <v/>
      </c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3">
        <f>SUM(G116:AK116)</f>
        <v/>
      </c>
      <c r="AM116" s="24">
        <f>SUM(C116,AL116)</f>
        <v/>
      </c>
      <c r="AN116" s="25">
        <f>E116*AM116</f>
        <v/>
      </c>
    </row>
    <row r="117" ht="25.05" customHeight="1">
      <c r="A117" s="27" t="inlineStr">
        <is>
          <t>700514</t>
        </is>
      </c>
      <c r="B117" s="27" t="inlineStr">
        <is>
          <t>HELADO GRANEL CHOCOLATE</t>
        </is>
      </c>
      <c r="C117" s="3" t="n">
        <v>0</v>
      </c>
      <c r="D117" s="33" t="inlineStr">
        <is>
          <t>LITRO</t>
        </is>
      </c>
      <c r="E117" s="9" t="n">
        <v>1.2058</v>
      </c>
      <c r="F117" s="10">
        <f>C117*E117</f>
        <v/>
      </c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3">
        <f>SUM(G117:AK117)</f>
        <v/>
      </c>
      <c r="AM117" s="24">
        <f>SUM(C117,AL117)</f>
        <v/>
      </c>
      <c r="AN117" s="25">
        <f>E117*AM117</f>
        <v/>
      </c>
    </row>
    <row r="118" ht="25.05" customHeight="1">
      <c r="A118" s="27" t="inlineStr">
        <is>
          <t>11207</t>
        </is>
      </c>
      <c r="B118" s="27" t="inlineStr">
        <is>
          <t>HEL NESTLE BISCUIT AL CARAMELO 12 UDS</t>
        </is>
      </c>
      <c r="C118" s="3" t="n">
        <v>0</v>
      </c>
      <c r="D118" s="33" t="inlineStr">
        <is>
          <t>UNIDAD</t>
        </is>
      </c>
      <c r="E118" s="9" t="n">
        <v>1.37452</v>
      </c>
      <c r="F118" s="10">
        <f>C118*E118</f>
        <v/>
      </c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3">
        <f>SUM(G118:AK118)</f>
        <v/>
      </c>
      <c r="AM118" s="24">
        <f>SUM(C118,AL118)</f>
        <v/>
      </c>
      <c r="AN118" s="25">
        <f>E118*AM118</f>
        <v/>
      </c>
    </row>
    <row r="119" ht="25.05" customHeight="1">
      <c r="A119" s="27" t="inlineStr">
        <is>
          <t>10121</t>
        </is>
      </c>
      <c r="B119" s="27" t="inlineStr">
        <is>
          <t>CAVA PINKY S/ALCOHOL 75 CL (NIÑOS)</t>
        </is>
      </c>
      <c r="C119" s="3" t="n">
        <v>0</v>
      </c>
      <c r="D119" s="33" t="inlineStr">
        <is>
          <t>BOTELLA</t>
        </is>
      </c>
      <c r="E119" s="9" t="n">
        <v>4.32907</v>
      </c>
      <c r="F119" s="10">
        <f>C119*E119</f>
        <v/>
      </c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3">
        <f>SUM(G119:AK119)</f>
        <v/>
      </c>
      <c r="AM119" s="24">
        <f>SUM(C119,AL119)</f>
        <v/>
      </c>
      <c r="AN119" s="25">
        <f>E119*AM119</f>
        <v/>
      </c>
    </row>
    <row r="120" ht="22.05" customHeight="1">
      <c r="C120" s="11">
        <f>SUM(C7:C119)</f>
        <v/>
      </c>
      <c r="D120" s="12" t="n"/>
      <c r="E120" s="13" t="inlineStr">
        <is>
          <t>ESTOCAJE  INICIAL</t>
        </is>
      </c>
      <c r="F120" s="14">
        <f>SUM(F7:F119)</f>
        <v/>
      </c>
      <c r="AL120" s="11">
        <f>SUM(AL7:AL119)</f>
        <v/>
      </c>
      <c r="AM120" s="24">
        <f>SUM(AM7:AM119)</f>
        <v/>
      </c>
      <c r="AN120" s="26">
        <f>SUM(AN7:AN119)</f>
        <v/>
      </c>
    </row>
    <row r="121" ht="22.05" customHeight="1">
      <c r="E121" s="3" t="n"/>
      <c r="F121" s="3" t="n"/>
      <c r="AN121" s="21" t="n"/>
    </row>
    <row r="122" ht="22.05" customHeight="1">
      <c r="E122" s="3" t="n"/>
      <c r="F122" s="3" t="n"/>
      <c r="AN122" s="21" t="n"/>
    </row>
    <row r="123" ht="22.05" customHeight="1">
      <c r="AN123" s="21" t="n"/>
    </row>
    <row r="124" ht="22.05" customHeight="1">
      <c r="AN124" s="21" t="n"/>
    </row>
    <row r="125" ht="22.05" customHeight="1">
      <c r="AN125" s="21" t="n"/>
    </row>
    <row r="126" ht="22.05" customHeight="1">
      <c r="AN126" s="21" t="n"/>
    </row>
    <row r="127" ht="22.05" customHeight="1">
      <c r="AN127" s="21" t="n"/>
    </row>
    <row r="128" ht="22.05" customHeight="1">
      <c r="AN128" s="21" t="n"/>
    </row>
    <row r="129" ht="22.05" customHeight="1">
      <c r="AN129" s="21" t="n"/>
    </row>
    <row r="130" ht="22.05" customHeight="1">
      <c r="AN130" s="21" t="n"/>
    </row>
    <row r="131" ht="22.05" customHeight="1">
      <c r="AN131" s="21" t="n"/>
    </row>
    <row r="132" ht="22.05" customHeight="1">
      <c r="AN132" s="21" t="n"/>
    </row>
    <row r="133" ht="22.05" customHeight="1">
      <c r="AN133" s="21" t="n"/>
    </row>
    <row r="134" ht="22.05" customHeight="1">
      <c r="AN134" s="21" t="n"/>
    </row>
    <row r="135" ht="22.05" customHeight="1">
      <c r="AN135" s="21" t="n"/>
    </row>
    <row r="136" ht="22.05" customHeight="1">
      <c r="AN136" s="21" t="n"/>
    </row>
    <row r="137" ht="22.05" customHeight="1">
      <c r="AN137" s="21" t="n"/>
    </row>
    <row r="138" ht="22.05" customHeight="1">
      <c r="AN138" s="21" t="n"/>
    </row>
    <row r="139" ht="22.05" customHeight="1">
      <c r="AN139" s="21" t="n"/>
    </row>
    <row r="140" ht="22.05" customHeight="1">
      <c r="AN140" s="21" t="n"/>
    </row>
    <row r="141" ht="22.05" customHeight="1">
      <c r="AN141" s="21" t="n"/>
    </row>
    <row r="142" ht="22.05" customHeight="1">
      <c r="AN142" s="21" t="n"/>
    </row>
    <row r="143" ht="22.05" customHeight="1">
      <c r="AN143" s="21" t="n"/>
    </row>
    <row r="144" ht="22.05" customHeight="1">
      <c r="AN144" s="21" t="n"/>
    </row>
    <row r="145" ht="22.05" customHeight="1">
      <c r="AN145" s="21" t="n"/>
    </row>
    <row r="146" ht="22.05" customHeight="1">
      <c r="AN146" s="21" t="n"/>
    </row>
    <row r="147" ht="22.05" customHeight="1">
      <c r="AN147" s="21" t="n"/>
    </row>
    <row r="148" ht="22.05" customHeight="1">
      <c r="AN148" s="21" t="n"/>
    </row>
    <row r="149" ht="22.05" customHeight="1">
      <c r="AN149" s="21" t="n"/>
    </row>
    <row r="150" ht="22.05" customHeight="1">
      <c r="AN150" s="21" t="n"/>
    </row>
    <row r="151" ht="22.05" customHeight="1">
      <c r="AN151" s="21" t="n"/>
    </row>
    <row r="152" ht="22.05" customHeight="1">
      <c r="AN152" s="21" t="n"/>
    </row>
    <row r="153" ht="22.05" customHeight="1">
      <c r="AN153" s="21" t="n"/>
    </row>
    <row r="154" ht="22.05" customHeight="1">
      <c r="AN154" s="21" t="n"/>
    </row>
    <row r="155" ht="22.05" customHeight="1">
      <c r="AN155" s="21" t="n"/>
    </row>
    <row r="156" ht="22.05" customHeight="1">
      <c r="AN156" s="21" t="n"/>
    </row>
    <row r="157" ht="22.05" customHeight="1">
      <c r="AN157" s="21" t="n"/>
    </row>
    <row r="158" ht="22.05" customHeight="1">
      <c r="AN158" s="21" t="n"/>
    </row>
    <row r="159" ht="22.05" customHeight="1">
      <c r="AN159" s="21" t="n"/>
    </row>
    <row r="160" ht="22.05" customHeight="1">
      <c r="AN160" s="21" t="n"/>
    </row>
    <row r="161" ht="22.05" customHeight="1">
      <c r="AN161" s="21" t="n"/>
    </row>
    <row r="162" ht="22.05" customHeight="1">
      <c r="AN162" s="21" t="n"/>
    </row>
    <row r="163" ht="22.05" customHeight="1">
      <c r="AN163" s="21" t="n"/>
    </row>
    <row r="164" ht="22.05" customHeight="1">
      <c r="AN164" s="21" t="n"/>
    </row>
    <row r="165" ht="22.05" customHeight="1">
      <c r="AN165" s="21" t="n"/>
    </row>
    <row r="166" ht="22.05" customHeight="1">
      <c r="AN166" s="21" t="n"/>
    </row>
    <row r="167" ht="22.05" customHeight="1">
      <c r="AN167" s="21" t="n"/>
    </row>
    <row r="168" ht="22.05" customHeight="1">
      <c r="AN168" s="21" t="n"/>
    </row>
    <row r="169" ht="22.05" customHeight="1">
      <c r="AN169" s="21" t="n"/>
    </row>
    <row r="170" ht="22.05" customHeight="1">
      <c r="AN170" s="21" t="n"/>
    </row>
    <row r="171" ht="22.05" customHeight="1">
      <c r="AN171" s="21" t="n"/>
    </row>
    <row r="172" ht="22.05" customHeight="1">
      <c r="AN172" s="21" t="n"/>
    </row>
    <row r="173" ht="22.05" customHeight="1">
      <c r="AN173" s="21" t="n"/>
    </row>
    <row r="174" ht="22.05" customHeight="1">
      <c r="AN174" s="21" t="n"/>
    </row>
    <row r="175" ht="22.05" customHeight="1">
      <c r="AN175" s="21" t="n"/>
    </row>
    <row r="176" ht="22.05" customHeight="1">
      <c r="AN176" s="21" t="n"/>
    </row>
    <row r="177" ht="22.05" customHeight="1">
      <c r="AN177" s="21" t="n"/>
    </row>
    <row r="178" ht="22.05" customHeight="1">
      <c r="AN178" s="21" t="n"/>
    </row>
    <row r="179" ht="22.05" customHeight="1">
      <c r="AN179" s="21" t="n"/>
    </row>
    <row r="180" ht="22.05" customHeight="1">
      <c r="AN180" s="21" t="n"/>
    </row>
    <row r="181" ht="22.05" customHeight="1">
      <c r="AN181" s="21" t="n"/>
    </row>
    <row r="182" ht="22.05" customHeight="1">
      <c r="AN182" s="21" t="n"/>
    </row>
    <row r="183" ht="22.05" customHeight="1">
      <c r="AN183" s="21" t="n"/>
    </row>
    <row r="184" ht="22.05" customHeight="1">
      <c r="AN184" s="21" t="n"/>
    </row>
    <row r="185" ht="22.05" customHeight="1">
      <c r="AN185" s="21" t="n"/>
    </row>
    <row r="186" ht="22.05" customHeight="1">
      <c r="AN186" s="21" t="n"/>
    </row>
    <row r="187" ht="22.05" customHeight="1">
      <c r="AN187" s="21" t="n"/>
    </row>
    <row r="188" ht="22.05" customHeight="1">
      <c r="AN188" s="21" t="n"/>
    </row>
    <row r="189" ht="22.05" customHeight="1">
      <c r="AN189" s="21" t="n"/>
    </row>
    <row r="190" ht="22.05" customHeight="1">
      <c r="AN190" s="21" t="n"/>
    </row>
    <row r="191" ht="22.05" customHeight="1">
      <c r="AN191" s="21" t="n"/>
    </row>
    <row r="192" ht="22.05" customHeight="1">
      <c r="AN192" s="21" t="n"/>
    </row>
    <row r="193" ht="22.05" customHeight="1">
      <c r="AN193" s="21" t="n"/>
    </row>
    <row r="194" ht="22.05" customHeight="1">
      <c r="AN194" s="21" t="n"/>
    </row>
    <row r="195" ht="22.05" customHeight="1">
      <c r="AN195" s="21" t="n"/>
    </row>
    <row r="196" ht="22.05" customHeight="1">
      <c r="AN196" s="21" t="n"/>
    </row>
    <row r="197" ht="22.05" customHeight="1">
      <c r="AN197" s="21" t="n"/>
    </row>
    <row r="198" ht="22.05" customHeight="1">
      <c r="AN198" s="21" t="n"/>
    </row>
    <row r="199" ht="22.05" customHeight="1">
      <c r="AN199" s="21" t="n"/>
    </row>
    <row r="200" ht="22.05" customHeight="1">
      <c r="AN200" s="21" t="n"/>
    </row>
    <row r="201" ht="22.05" customHeight="1">
      <c r="AN201" s="21" t="n"/>
    </row>
    <row r="202" ht="22.05" customHeight="1">
      <c r="AN202" s="21" t="n"/>
    </row>
    <row r="203" ht="22.05" customHeight="1">
      <c r="AN203" s="21" t="n"/>
    </row>
    <row r="204" ht="22.05" customHeight="1">
      <c r="AN204" s="21" t="n"/>
    </row>
    <row r="205" ht="22.05" customHeight="1">
      <c r="AN205" s="21" t="n"/>
    </row>
    <row r="206" ht="22.05" customHeight="1">
      <c r="AN206" s="21" t="n"/>
    </row>
    <row r="207" ht="22.05" customHeight="1">
      <c r="AN207" s="21" t="n"/>
    </row>
    <row r="208" ht="22.05" customHeight="1">
      <c r="AN208" s="21" t="n"/>
    </row>
    <row r="209" ht="22.05" customHeight="1">
      <c r="AN209" s="21" t="n"/>
    </row>
    <row r="210" ht="22.05" customHeight="1">
      <c r="AN210" s="21" t="n"/>
    </row>
    <row r="211" ht="22.05" customHeight="1">
      <c r="AN211" s="21" t="n"/>
    </row>
    <row r="212" ht="22.05" customHeight="1">
      <c r="AN212" s="21" t="n"/>
    </row>
    <row r="213" ht="22.05" customHeight="1">
      <c r="AN213" s="21" t="n"/>
    </row>
    <row r="214" ht="22.05" customHeight="1">
      <c r="AN214" s="21" t="n"/>
    </row>
    <row r="215" ht="22.05" customHeight="1">
      <c r="AN215" s="21" t="n"/>
    </row>
    <row r="216" ht="22.05" customHeight="1">
      <c r="AN216" s="21" t="n"/>
    </row>
    <row r="217" ht="22.05" customHeight="1">
      <c r="AN217" s="21" t="n"/>
    </row>
    <row r="218" ht="22.05" customHeight="1">
      <c r="AN218" s="21" t="n"/>
    </row>
    <row r="219" ht="22.05" customHeight="1">
      <c r="AN219" s="21" t="n"/>
    </row>
    <row r="220" ht="22.05" customHeight="1">
      <c r="AN220" s="21" t="n"/>
    </row>
    <row r="221" ht="22.05" customHeight="1">
      <c r="AN221" s="21" t="n"/>
    </row>
    <row r="222" ht="22.05" customHeight="1">
      <c r="AN222" s="21" t="n"/>
    </row>
    <row r="223" ht="22.05" customHeight="1">
      <c r="AN223" s="21" t="n"/>
    </row>
    <row r="224" ht="22.05" customHeight="1">
      <c r="AN224" s="21" t="n"/>
    </row>
    <row r="225" ht="22.05" customHeight="1">
      <c r="AN225" s="21" t="n"/>
    </row>
    <row r="226" ht="22.05" customHeight="1">
      <c r="AN226" s="21" t="n"/>
    </row>
    <row r="227" ht="22.05" customHeight="1">
      <c r="AN227" s="21" t="n"/>
    </row>
    <row r="228" ht="22.05" customHeight="1">
      <c r="AN228" s="21" t="n"/>
    </row>
    <row r="229" ht="22.05" customHeight="1">
      <c r="AN229" s="21" t="n"/>
    </row>
    <row r="230" ht="22.05" customHeight="1">
      <c r="AN230" s="21" t="n"/>
    </row>
    <row r="231" ht="22.05" customHeight="1">
      <c r="AN231" s="21" t="n"/>
    </row>
    <row r="232" ht="22.05" customHeight="1">
      <c r="AN232" s="21" t="n"/>
    </row>
    <row r="233" ht="22.05" customHeight="1">
      <c r="AN233" s="21" t="n"/>
    </row>
    <row r="234" ht="22.05" customHeight="1">
      <c r="AN234" s="21" t="n"/>
    </row>
    <row r="235" ht="22.05" customHeight="1">
      <c r="AN235" s="21" t="n"/>
    </row>
    <row r="236" ht="22.05" customHeight="1">
      <c r="AN236" s="21" t="n"/>
    </row>
    <row r="237" ht="22.05" customHeight="1">
      <c r="AN237" s="21" t="n"/>
    </row>
    <row r="238" ht="22.05" customHeight="1">
      <c r="AN238" s="21" t="n"/>
    </row>
    <row r="239" ht="22.05" customHeight="1">
      <c r="AN239" s="21" t="n"/>
    </row>
    <row r="240" ht="22.05" customHeight="1">
      <c r="AN240" s="21" t="n"/>
    </row>
    <row r="241" ht="22.05" customHeight="1">
      <c r="AN241" s="21" t="n"/>
    </row>
    <row r="242" ht="22.05" customHeight="1">
      <c r="AN242" s="21" t="n"/>
    </row>
    <row r="243" ht="22.05" customHeight="1">
      <c r="AN243" s="21" t="n"/>
    </row>
    <row r="244" ht="22.05" customHeight="1">
      <c r="AN244" s="21" t="n"/>
    </row>
    <row r="245" ht="22.05" customHeight="1">
      <c r="AN245" s="21" t="n"/>
    </row>
    <row r="246" ht="22.05" customHeight="1">
      <c r="AN246" s="21" t="n"/>
    </row>
    <row r="247" ht="22.05" customHeight="1">
      <c r="AN247" s="21" t="n"/>
    </row>
    <row r="248" ht="22.05" customHeight="1">
      <c r="AN248" s="21" t="n"/>
    </row>
    <row r="249" ht="22.05" customHeight="1">
      <c r="AN249" s="21" t="n"/>
    </row>
    <row r="250" ht="22.05" customHeight="1">
      <c r="AN250" s="21" t="n"/>
    </row>
    <row r="251" ht="22.05" customHeight="1">
      <c r="AN251" s="21" t="n"/>
    </row>
    <row r="252" ht="22.05" customHeight="1">
      <c r="AN252" s="21" t="n"/>
    </row>
    <row r="253" ht="22.05" customHeight="1">
      <c r="AN253" s="21" t="n"/>
    </row>
    <row r="254" ht="22.05" customHeight="1">
      <c r="AN254" s="21" t="n"/>
    </row>
    <row r="255" ht="22.05" customHeight="1">
      <c r="AN255" s="21" t="n"/>
    </row>
    <row r="256" ht="22.05" customHeight="1">
      <c r="AN256" s="21" t="n"/>
    </row>
    <row r="257" ht="22.05" customHeight="1">
      <c r="AN257" s="21" t="n"/>
    </row>
    <row r="258" ht="22.05" customHeight="1">
      <c r="AN258" s="21" t="n"/>
    </row>
    <row r="259" ht="22.05" customHeight="1">
      <c r="AN259" s="21" t="n"/>
    </row>
    <row r="260" ht="22.05" customHeight="1">
      <c r="AN260" s="21" t="n"/>
    </row>
    <row r="261" ht="22.05" customHeight="1">
      <c r="AN261" s="21" t="n"/>
    </row>
    <row r="262" ht="22.05" customHeight="1">
      <c r="AN262" s="21" t="n"/>
    </row>
    <row r="263" ht="22.05" customHeight="1">
      <c r="AN263" s="21" t="n"/>
    </row>
    <row r="264" ht="22.05" customHeight="1">
      <c r="AN264" s="21" t="n"/>
    </row>
    <row r="265" ht="22.05" customHeight="1">
      <c r="AN265" s="21" t="n"/>
    </row>
    <row r="266" ht="22.05" customHeight="1">
      <c r="AN266" s="21" t="n"/>
    </row>
    <row r="267" ht="22.05" customHeight="1">
      <c r="AN267" s="21" t="n"/>
    </row>
    <row r="268" ht="22.05" customHeight="1">
      <c r="AN268" s="21" t="n"/>
    </row>
    <row r="269" ht="22.05" customHeight="1">
      <c r="AN269" s="21" t="n"/>
    </row>
    <row r="270" ht="22.05" customHeight="1">
      <c r="AN270" s="21" t="n"/>
    </row>
    <row r="271" ht="22.05" customHeight="1">
      <c r="AN271" s="21" t="n"/>
    </row>
    <row r="272" ht="22.05" customHeight="1">
      <c r="AN272" s="21" t="n"/>
    </row>
    <row r="273" ht="22.05" customHeight="1">
      <c r="AN273" s="21" t="n"/>
    </row>
    <row r="274" ht="22.05" customHeight="1">
      <c r="AN274" s="21" t="n"/>
    </row>
    <row r="275" ht="22.05" customHeight="1">
      <c r="AN275" s="21" t="n"/>
    </row>
    <row r="276" ht="22.05" customHeight="1">
      <c r="AN276" s="21" t="n"/>
    </row>
    <row r="277" ht="22.05" customHeight="1">
      <c r="AN277" s="21" t="n"/>
    </row>
    <row r="278" ht="22.05" customHeight="1">
      <c r="AN278" s="21" t="n"/>
    </row>
    <row r="279" ht="22.05" customHeight="1">
      <c r="AN279" s="21" t="n"/>
    </row>
    <row r="280" ht="22.05" customHeight="1">
      <c r="AN280" s="21" t="n"/>
    </row>
    <row r="281" ht="22.05" customHeight="1">
      <c r="AN281" s="21" t="n"/>
    </row>
    <row r="282" ht="22.05" customHeight="1">
      <c r="AN282" s="21" t="n"/>
    </row>
    <row r="283" ht="22.05" customHeight="1">
      <c r="AN283" s="21" t="n"/>
    </row>
    <row r="284" ht="22.05" customHeight="1">
      <c r="AN284" s="21" t="n"/>
    </row>
    <row r="285" ht="22.05" customHeight="1">
      <c r="AN285" s="21" t="n"/>
    </row>
    <row r="286" ht="22.05" customHeight="1">
      <c r="AN286" s="21" t="n"/>
    </row>
    <row r="287" ht="22.05" customHeight="1">
      <c r="AN287" s="21" t="n"/>
    </row>
    <row r="288" ht="22.05" customHeight="1">
      <c r="AN288" s="21" t="n"/>
    </row>
    <row r="289" ht="22.05" customHeight="1">
      <c r="AN289" s="21" t="n"/>
    </row>
    <row r="290" ht="22.05" customHeight="1">
      <c r="AN290" s="21" t="n"/>
    </row>
    <row r="291" ht="22.05" customHeight="1">
      <c r="AN291" s="21" t="n"/>
    </row>
    <row r="292" ht="22.05" customHeight="1">
      <c r="AN292" s="21" t="n"/>
    </row>
    <row r="293" ht="22.05" customHeight="1">
      <c r="AN293" s="21" t="n"/>
    </row>
    <row r="294" ht="22.05" customHeight="1">
      <c r="AN294" s="21" t="n"/>
    </row>
    <row r="295" ht="22.05" customHeight="1">
      <c r="AN295" s="21" t="n"/>
    </row>
    <row r="296" ht="22.05" customHeight="1">
      <c r="AN296" s="21" t="n"/>
    </row>
    <row r="297" ht="22.05" customHeight="1">
      <c r="AN297" s="21" t="n"/>
    </row>
    <row r="298" ht="22.05" customHeight="1">
      <c r="AN298" s="21" t="n"/>
    </row>
    <row r="299" ht="22.05" customHeight="1">
      <c r="AN299" s="21" t="n"/>
    </row>
    <row r="300" ht="22.05" customHeight="1">
      <c r="AN300" s="21" t="n"/>
    </row>
    <row r="301" ht="22.05" customHeight="1">
      <c r="AN301" s="21" t="n"/>
    </row>
    <row r="302" ht="22.05" customHeight="1">
      <c r="AN302" s="21" t="n"/>
    </row>
    <row r="303" ht="22.05" customHeight="1">
      <c r="AN303" s="21" t="n"/>
    </row>
    <row r="304" ht="22.05" customHeight="1">
      <c r="AN304" s="21" t="n"/>
    </row>
    <row r="305" ht="22.05" customHeight="1">
      <c r="AN305" s="21" t="n"/>
    </row>
    <row r="306" ht="22.05" customHeight="1">
      <c r="AN306" s="21" t="n"/>
    </row>
    <row r="307" ht="22.05" customHeight="1">
      <c r="AN307" s="21" t="n"/>
    </row>
    <row r="308" ht="22.05" customHeight="1">
      <c r="AN308" s="21" t="n"/>
    </row>
    <row r="309" ht="22.05" customHeight="1">
      <c r="AN309" s="21" t="n"/>
    </row>
    <row r="310" ht="22.05" customHeight="1">
      <c r="AN310" s="21" t="n"/>
    </row>
    <row r="311" ht="22.05" customHeight="1">
      <c r="AN311" s="21" t="n"/>
    </row>
    <row r="312" ht="22.05" customHeight="1">
      <c r="AN312" s="21" t="n"/>
    </row>
    <row r="313" ht="22.05" customHeight="1">
      <c r="AN313" s="21" t="n"/>
    </row>
    <row r="314" ht="22.05" customHeight="1">
      <c r="AN314" s="21" t="n"/>
    </row>
    <row r="315" ht="22.05" customHeight="1">
      <c r="AN315" s="21" t="n"/>
    </row>
    <row r="316" ht="22.05" customHeight="1">
      <c r="AN316" s="21" t="n"/>
    </row>
    <row r="317" ht="22.05" customHeight="1">
      <c r="AN317" s="21" t="n"/>
    </row>
    <row r="318" ht="22.05" customHeight="1">
      <c r="AN318" s="21" t="n"/>
    </row>
    <row r="319" ht="22.05" customHeight="1">
      <c r="AN319" s="21" t="n"/>
    </row>
    <row r="320" ht="22.05" customHeight="1">
      <c r="AN320" s="21" t="n"/>
    </row>
    <row r="321" ht="22.05" customHeight="1">
      <c r="AN321" s="21" t="n"/>
    </row>
    <row r="322" ht="22.05" customHeight="1">
      <c r="AN322" s="21" t="n"/>
    </row>
    <row r="323" ht="22.05" customHeight="1">
      <c r="AN323" s="21" t="n"/>
    </row>
    <row r="324" ht="22.05" customHeight="1">
      <c r="AN324" s="21" t="n"/>
    </row>
    <row r="325" ht="22.05" customHeight="1">
      <c r="AN325" s="21" t="n"/>
    </row>
    <row r="326" ht="22.05" customHeight="1">
      <c r="AN326" s="21" t="n"/>
    </row>
    <row r="327" ht="22.05" customHeight="1">
      <c r="AN327" s="21" t="n"/>
    </row>
    <row r="328" ht="22.05" customHeight="1">
      <c r="AN328" s="21" t="n"/>
    </row>
    <row r="329" ht="22.05" customHeight="1">
      <c r="AN329" s="21" t="n"/>
    </row>
    <row r="330" ht="22.05" customHeight="1">
      <c r="AN330" s="21" t="n"/>
    </row>
    <row r="331" ht="22.05" customHeight="1">
      <c r="AN331" s="21" t="n"/>
    </row>
    <row r="332" ht="22.05" customHeight="1">
      <c r="AN332" s="21" t="n"/>
    </row>
    <row r="333" ht="22.05" customHeight="1">
      <c r="AN333" s="21" t="n"/>
    </row>
    <row r="334" ht="22.05" customHeight="1">
      <c r="AN334" s="21" t="n"/>
    </row>
    <row r="335" ht="22.05" customHeight="1">
      <c r="AN335" s="21" t="n"/>
    </row>
    <row r="336" ht="22.05" customHeight="1">
      <c r="AN336" s="21" t="n"/>
    </row>
    <row r="337" ht="22.05" customHeight="1">
      <c r="AN337" s="21" t="n"/>
    </row>
    <row r="338" ht="22.05" customHeight="1">
      <c r="AN338" s="21" t="n"/>
    </row>
    <row r="339" ht="22.05" customHeight="1">
      <c r="AN339" s="21" t="n"/>
    </row>
    <row r="340" ht="22.05" customHeight="1">
      <c r="AN340" s="21" t="n"/>
    </row>
    <row r="341" ht="22.05" customHeight="1">
      <c r="AN341" s="21" t="n"/>
    </row>
    <row r="342" ht="22.05" customHeight="1">
      <c r="AN342" s="21" t="n"/>
    </row>
    <row r="343" ht="22.05" customHeight="1">
      <c r="AN343" s="21" t="n"/>
    </row>
    <row r="344" ht="22.05" customHeight="1">
      <c r="AN344" s="21" t="n"/>
    </row>
    <row r="345" ht="22.05" customHeight="1">
      <c r="AN345" s="21" t="n"/>
    </row>
    <row r="346" ht="22.05" customHeight="1">
      <c r="AN346" s="21" t="n"/>
    </row>
    <row r="347" ht="22.05" customHeight="1">
      <c r="AN347" s="21" t="n"/>
    </row>
    <row r="348" ht="22.05" customHeight="1">
      <c r="AN348" s="21" t="n"/>
    </row>
    <row r="349" ht="22.05" customHeight="1">
      <c r="AN349" s="21" t="n"/>
    </row>
    <row r="350" ht="22.05" customHeight="1">
      <c r="AN350" s="21" t="n"/>
    </row>
    <row r="351" ht="22.05" customHeight="1">
      <c r="AN351" s="21" t="n"/>
    </row>
    <row r="352" ht="22.05" customHeight="1">
      <c r="AN352" s="21" t="n"/>
    </row>
    <row r="353" ht="22.05" customHeight="1">
      <c r="AN353" s="21" t="n"/>
    </row>
    <row r="354" ht="22.05" customHeight="1">
      <c r="AN354" s="21" t="n"/>
    </row>
    <row r="355" ht="22.05" customHeight="1">
      <c r="AN355" s="21" t="n"/>
    </row>
    <row r="356" ht="22.05" customHeight="1">
      <c r="AN356" s="21" t="n"/>
    </row>
    <row r="357" ht="22.05" customHeight="1">
      <c r="AN357" s="21" t="n"/>
    </row>
    <row r="358" ht="22.05" customHeight="1">
      <c r="AN358" s="21" t="n"/>
    </row>
    <row r="359" ht="22.05" customHeight="1">
      <c r="AN359" s="21" t="n"/>
    </row>
    <row r="360" ht="22.05" customHeight="1">
      <c r="AN360" s="21" t="n"/>
    </row>
    <row r="361" ht="22.05" customHeight="1">
      <c r="AN361" s="21" t="n"/>
    </row>
    <row r="362" ht="22.05" customHeight="1">
      <c r="AN362" s="21" t="n"/>
    </row>
    <row r="363" ht="22.05" customHeight="1">
      <c r="AN363" s="21" t="n"/>
    </row>
    <row r="364" ht="22.05" customHeight="1">
      <c r="AN364" s="21" t="n"/>
    </row>
    <row r="365" ht="22.05" customHeight="1">
      <c r="AN365" s="21" t="n"/>
    </row>
    <row r="366" ht="22.05" customHeight="1">
      <c r="AN366" s="21" t="n"/>
    </row>
    <row r="367" ht="22.05" customHeight="1">
      <c r="AN367" s="21" t="n"/>
    </row>
    <row r="368" ht="22.05" customHeight="1">
      <c r="AN368" s="21" t="n"/>
    </row>
    <row r="369" ht="22.05" customHeight="1">
      <c r="AN369" s="21" t="n"/>
    </row>
    <row r="370" ht="22.05" customHeight="1">
      <c r="AN370" s="21" t="n"/>
    </row>
    <row r="371" ht="22.05" customHeight="1">
      <c r="AN371" s="21" t="n"/>
    </row>
    <row r="372" ht="22.05" customHeight="1">
      <c r="AN372" s="21" t="n"/>
    </row>
    <row r="373" ht="22.05" customHeight="1">
      <c r="AN373" s="21" t="n"/>
    </row>
    <row r="374" ht="22.05" customHeight="1">
      <c r="AN374" s="21" t="n"/>
    </row>
    <row r="375" ht="22.05" customHeight="1">
      <c r="AN375" s="21" t="n"/>
    </row>
    <row r="376" ht="22.05" customHeight="1">
      <c r="AN376" s="21" t="n"/>
    </row>
    <row r="377" ht="22.05" customHeight="1">
      <c r="AN377" s="21" t="n"/>
    </row>
    <row r="378" ht="22.05" customHeight="1">
      <c r="AN378" s="21" t="n"/>
    </row>
    <row r="379" ht="22.05" customHeight="1">
      <c r="AN379" s="21" t="n"/>
    </row>
    <row r="380" ht="22.05" customHeight="1">
      <c r="AN380" s="21" t="n"/>
    </row>
    <row r="381" ht="22.05" customHeight="1">
      <c r="AN381" s="21" t="n"/>
    </row>
    <row r="382" ht="22.05" customHeight="1">
      <c r="AN382" s="21" t="n"/>
    </row>
    <row r="383" ht="22.05" customHeight="1">
      <c r="AN383" s="21" t="n"/>
    </row>
    <row r="384" ht="22.05" customHeight="1">
      <c r="AN384" s="21" t="n"/>
    </row>
    <row r="385" ht="22.05" customHeight="1">
      <c r="AN385" s="21" t="n"/>
    </row>
    <row r="386" ht="22.05" customHeight="1">
      <c r="AN386" s="21" t="n"/>
    </row>
    <row r="387" ht="22.05" customHeight="1">
      <c r="AN387" s="21" t="n"/>
    </row>
    <row r="388" ht="22.05" customHeight="1">
      <c r="AN388" s="21" t="n"/>
    </row>
    <row r="389" ht="22.05" customHeight="1">
      <c r="AN389" s="21" t="n"/>
    </row>
    <row r="390" ht="22.05" customHeight="1">
      <c r="AN390" s="21" t="n"/>
    </row>
    <row r="391" ht="22.05" customHeight="1">
      <c r="AN391" s="21" t="n"/>
    </row>
    <row r="392" ht="22.05" customHeight="1">
      <c r="AN392" s="21" t="n"/>
    </row>
    <row r="393" ht="22.05" customHeight="1">
      <c r="AN393" s="21" t="n"/>
    </row>
    <row r="394" ht="22.05" customHeight="1">
      <c r="AN394" s="21" t="n"/>
    </row>
    <row r="395" ht="22.05" customHeight="1">
      <c r="AN395" s="21" t="n"/>
    </row>
    <row r="396" ht="22.05" customHeight="1">
      <c r="AN396" s="21" t="n"/>
    </row>
    <row r="397" ht="22.05" customHeight="1">
      <c r="AN397" s="21" t="n"/>
    </row>
    <row r="398" ht="22.05" customHeight="1">
      <c r="AN398" s="21" t="n"/>
    </row>
    <row r="399" ht="22.05" customHeight="1">
      <c r="AN399" s="21" t="n"/>
    </row>
    <row r="400" ht="22.05" customHeight="1">
      <c r="AN400" s="21" t="n"/>
    </row>
    <row r="401" ht="22.05" customHeight="1">
      <c r="AN401" s="21" t="n"/>
    </row>
    <row r="402" ht="22.05" customHeight="1">
      <c r="AN402" s="21" t="n"/>
    </row>
    <row r="403" ht="22.05" customHeight="1">
      <c r="AN403" s="21" t="n"/>
    </row>
    <row r="404" ht="22.05" customHeight="1">
      <c r="AN404" s="21" t="n"/>
    </row>
    <row r="405" ht="22.05" customHeight="1">
      <c r="AN405" s="21" t="n"/>
    </row>
    <row r="406" ht="22.05" customHeight="1">
      <c r="AN406" s="21" t="n"/>
    </row>
    <row r="407" ht="22.05" customHeight="1">
      <c r="AN407" s="21" t="n"/>
    </row>
    <row r="408" ht="22.05" customHeight="1">
      <c r="AN408" s="21" t="n"/>
    </row>
    <row r="409" ht="22.05" customHeight="1">
      <c r="AN409" s="21" t="n"/>
    </row>
    <row r="410" ht="22.05" customHeight="1">
      <c r="AN410" s="21" t="n"/>
    </row>
    <row r="411" ht="22.05" customHeight="1">
      <c r="AN411" s="21" t="n"/>
    </row>
    <row r="412" ht="22.05" customHeight="1">
      <c r="AN412" s="21" t="n"/>
    </row>
    <row r="413" ht="22.05" customHeight="1">
      <c r="AN413" s="21" t="n"/>
    </row>
    <row r="414" ht="22.05" customHeight="1">
      <c r="AN414" s="21" t="n"/>
    </row>
    <row r="415" ht="22.05" customHeight="1">
      <c r="AN415" s="21" t="n"/>
    </row>
    <row r="416" ht="22.05" customHeight="1">
      <c r="AN416" s="21" t="n"/>
    </row>
    <row r="417" ht="22.05" customHeight="1">
      <c r="AN417" s="21" t="n"/>
    </row>
    <row r="418" ht="22.05" customHeight="1">
      <c r="AN418" s="21" t="n"/>
    </row>
    <row r="419" ht="22.05" customHeight="1">
      <c r="AN419" s="21" t="n"/>
    </row>
    <row r="420" ht="22.05" customHeight="1">
      <c r="AN420" s="21" t="n"/>
    </row>
    <row r="421" ht="22.05" customHeight="1">
      <c r="AN421" s="21" t="n"/>
    </row>
    <row r="422" ht="22.05" customHeight="1">
      <c r="AN422" s="21" t="n"/>
    </row>
    <row r="423" ht="22.05" customHeight="1">
      <c r="AN423" s="21" t="n"/>
    </row>
    <row r="424" ht="22.05" customHeight="1">
      <c r="AN424" s="21" t="n"/>
    </row>
    <row r="425" ht="22.05" customHeight="1">
      <c r="AN425" s="21" t="n"/>
    </row>
    <row r="426" ht="22.05" customHeight="1">
      <c r="AN426" s="21" t="n"/>
    </row>
    <row r="427" ht="22.05" customHeight="1">
      <c r="AN427" s="21" t="n"/>
    </row>
    <row r="428" ht="22.05" customHeight="1">
      <c r="AN428" s="21" t="n"/>
    </row>
    <row r="429" ht="22.05" customHeight="1">
      <c r="AN429" s="21" t="n"/>
    </row>
    <row r="430" ht="22.05" customHeight="1">
      <c r="AN430" s="21" t="n"/>
    </row>
    <row r="431" ht="22.05" customHeight="1">
      <c r="AN431" s="21" t="n"/>
    </row>
    <row r="432" ht="22.05" customHeight="1">
      <c r="AN432" s="21" t="n"/>
    </row>
    <row r="433" ht="22.05" customHeight="1">
      <c r="AN433" s="21" t="n"/>
    </row>
    <row r="434" ht="22.05" customHeight="1">
      <c r="AN434" s="21" t="n"/>
    </row>
    <row r="435" ht="22.05" customHeight="1">
      <c r="AN435" s="21" t="n"/>
    </row>
    <row r="436" ht="22.05" customHeight="1">
      <c r="AN436" s="21" t="n"/>
    </row>
    <row r="437" ht="22.05" customHeight="1">
      <c r="AN437" s="21" t="n"/>
    </row>
    <row r="438" ht="22.05" customHeight="1">
      <c r="AN438" s="21" t="n"/>
    </row>
    <row r="439" ht="22.05" customHeight="1">
      <c r="AN439" s="21" t="n"/>
    </row>
    <row r="440" ht="22.05" customHeight="1">
      <c r="AN440" s="21" t="n"/>
    </row>
    <row r="441" ht="22.05" customHeight="1">
      <c r="AN441" s="21" t="n"/>
    </row>
    <row r="442" ht="22.05" customHeight="1">
      <c r="AN442" s="21" t="n"/>
    </row>
    <row r="443" ht="22.05" customHeight="1">
      <c r="AN443" s="21" t="n"/>
    </row>
    <row r="444" ht="22.05" customHeight="1">
      <c r="AN444" s="21" t="n"/>
    </row>
    <row r="445" ht="22.05" customHeight="1">
      <c r="AN445" s="21" t="n"/>
    </row>
    <row r="446" ht="22.05" customHeight="1">
      <c r="AN446" s="21" t="n"/>
    </row>
    <row r="447" ht="22.05" customHeight="1">
      <c r="AN447" s="21" t="n"/>
    </row>
    <row r="448" ht="22.05" customHeight="1">
      <c r="AN448" s="21" t="n"/>
    </row>
    <row r="449" ht="22.05" customHeight="1">
      <c r="AN449" s="21" t="n"/>
    </row>
    <row r="450" ht="22.05" customHeight="1">
      <c r="AN450" s="21" t="n"/>
    </row>
    <row r="451" ht="22.05" customHeight="1">
      <c r="AN451" s="21" t="n"/>
    </row>
    <row r="452" ht="22.05" customHeight="1">
      <c r="AN452" s="21" t="n"/>
    </row>
    <row r="453" ht="22.05" customHeight="1">
      <c r="AN453" s="21" t="n"/>
    </row>
    <row r="454" ht="22.05" customHeight="1">
      <c r="AN454" s="21" t="n"/>
    </row>
    <row r="455" ht="22.05" customHeight="1">
      <c r="AN455" s="21" t="n"/>
    </row>
    <row r="456" ht="22.05" customHeight="1">
      <c r="AN456" s="21" t="n"/>
    </row>
    <row r="457" ht="22.05" customHeight="1">
      <c r="AN457" s="21" t="n"/>
    </row>
    <row r="458" ht="22.05" customHeight="1">
      <c r="AN458" s="21" t="n"/>
    </row>
    <row r="459" ht="22.05" customHeight="1">
      <c r="AN459" s="21" t="n"/>
    </row>
    <row r="460" ht="22.05" customHeight="1">
      <c r="AN460" s="21" t="n"/>
    </row>
    <row r="461" ht="22.05" customHeight="1">
      <c r="AN461" s="21" t="n"/>
    </row>
    <row r="462" ht="22.05" customHeight="1">
      <c r="AN462" s="21" t="n"/>
    </row>
    <row r="463" ht="22.05" customHeight="1">
      <c r="AN463" s="21" t="n"/>
    </row>
    <row r="464" ht="22.05" customHeight="1">
      <c r="AN464" s="21" t="n"/>
    </row>
    <row r="465" ht="22.05" customHeight="1">
      <c r="AN465" s="21" t="n"/>
    </row>
    <row r="466" ht="22.05" customHeight="1">
      <c r="AN466" s="21" t="n"/>
    </row>
    <row r="467" ht="22.05" customHeight="1">
      <c r="AN467" s="21" t="n"/>
    </row>
    <row r="468" ht="22.05" customHeight="1">
      <c r="AN468" s="21" t="n"/>
    </row>
    <row r="469" ht="22.05" customHeight="1">
      <c r="AN469" s="21" t="n"/>
    </row>
    <row r="470" ht="22.05" customHeight="1">
      <c r="AN470" s="21" t="n"/>
    </row>
    <row r="471" ht="22.05" customHeight="1">
      <c r="AN471" s="21" t="n"/>
    </row>
    <row r="472" ht="22.05" customHeight="1">
      <c r="AN472" s="21" t="n"/>
    </row>
    <row r="473" ht="22.05" customHeight="1">
      <c r="AN473" s="21" t="n"/>
    </row>
    <row r="474" ht="22.05" customHeight="1">
      <c r="AN474" s="21" t="n"/>
    </row>
    <row r="475" ht="22.05" customHeight="1">
      <c r="AN475" s="21" t="n"/>
    </row>
    <row r="476" ht="22.05" customHeight="1">
      <c r="AN476" s="21" t="n"/>
    </row>
    <row r="477" ht="22.05" customHeight="1">
      <c r="AN477" s="21" t="n"/>
    </row>
    <row r="478" ht="22.05" customHeight="1">
      <c r="AN478" s="21" t="n"/>
    </row>
    <row r="479" ht="22.05" customHeight="1">
      <c r="AN479" s="21" t="n"/>
    </row>
    <row r="480" ht="22.05" customHeight="1">
      <c r="AN480" s="21" t="n"/>
    </row>
    <row r="481" ht="22.05" customHeight="1">
      <c r="AN481" s="21" t="n"/>
    </row>
    <row r="482" ht="22.05" customHeight="1">
      <c r="AN482" s="21" t="n"/>
    </row>
    <row r="483" ht="22.05" customHeight="1">
      <c r="AN483" s="21" t="n"/>
    </row>
    <row r="484" ht="22.05" customHeight="1">
      <c r="AN484" s="21" t="n"/>
    </row>
    <row r="485" ht="22.05" customHeight="1">
      <c r="AN485" s="21" t="n"/>
    </row>
    <row r="486" ht="22.05" customHeight="1">
      <c r="AN486" s="21" t="n"/>
    </row>
    <row r="487" ht="22.05" customHeight="1">
      <c r="AN487" s="21" t="n"/>
    </row>
    <row r="488" ht="22.05" customHeight="1">
      <c r="AN488" s="21" t="n"/>
    </row>
    <row r="489" ht="22.05" customHeight="1">
      <c r="AN489" s="21" t="n"/>
    </row>
    <row r="490" ht="22.05" customHeight="1">
      <c r="AN490" s="21" t="n"/>
    </row>
    <row r="491" ht="22.05" customHeight="1">
      <c r="AN491" s="21" t="n"/>
    </row>
    <row r="492" ht="22.05" customHeight="1">
      <c r="AN492" s="21" t="n"/>
    </row>
    <row r="493" ht="22.05" customHeight="1">
      <c r="AN493" s="21" t="n"/>
    </row>
    <row r="494" ht="22.05" customHeight="1">
      <c r="AN494" s="21" t="n"/>
    </row>
    <row r="495" ht="22.05" customHeight="1">
      <c r="AN495" s="21" t="n"/>
    </row>
    <row r="496" ht="22.05" customHeight="1">
      <c r="AN496" s="21" t="n"/>
    </row>
    <row r="497" ht="22.05" customHeight="1">
      <c r="AN497" s="21" t="n"/>
    </row>
    <row r="498" ht="22.05" customHeight="1">
      <c r="AN498" s="21" t="n"/>
    </row>
    <row r="499" ht="22.05" customHeight="1">
      <c r="AN499" s="21" t="n"/>
    </row>
    <row r="500" ht="22.05" customHeight="1">
      <c r="AN500" s="21" t="n"/>
    </row>
    <row r="501" ht="22.05" customHeight="1">
      <c r="AN501" s="21" t="n"/>
    </row>
    <row r="502" ht="22.05" customHeight="1">
      <c r="AN502" s="21" t="n"/>
    </row>
    <row r="503" ht="22.05" customHeight="1">
      <c r="AN503" s="21" t="n"/>
    </row>
    <row r="504" ht="22.05" customHeight="1">
      <c r="AN504" s="21" t="n"/>
    </row>
    <row r="505" ht="22.05" customHeight="1">
      <c r="AN505" s="21" t="n"/>
    </row>
    <row r="506" ht="22.05" customHeight="1">
      <c r="AN506" s="21" t="n"/>
    </row>
    <row r="507" ht="22.05" customHeight="1">
      <c r="AN507" s="21" t="n"/>
    </row>
    <row r="508" ht="22.05" customHeight="1">
      <c r="AN508" s="21" t="n"/>
    </row>
    <row r="509" ht="22.05" customHeight="1">
      <c r="AN509" s="21" t="n"/>
    </row>
    <row r="510" ht="22.05" customHeight="1">
      <c r="AN510" s="21" t="n"/>
    </row>
    <row r="511" ht="22.05" customHeight="1">
      <c r="AN511" s="21" t="n"/>
    </row>
    <row r="512" ht="22.05" customHeight="1">
      <c r="AN512" s="21" t="n"/>
    </row>
    <row r="513" ht="22.05" customHeight="1">
      <c r="AN513" s="21" t="n"/>
    </row>
    <row r="514" ht="22.05" customHeight="1">
      <c r="AN514" s="21" t="n"/>
    </row>
    <row r="515" ht="22.05" customHeight="1">
      <c r="AN515" s="21" t="n"/>
    </row>
    <row r="516" ht="22.05" customHeight="1">
      <c r="AN516" s="21" t="n"/>
    </row>
    <row r="517" ht="22.05" customHeight="1">
      <c r="AN517" s="21" t="n"/>
    </row>
    <row r="518" ht="22.05" customHeight="1">
      <c r="AN518" s="21" t="n"/>
    </row>
    <row r="519" ht="22.05" customHeight="1">
      <c r="AN519" s="21" t="n"/>
    </row>
    <row r="520" ht="22.05" customHeight="1">
      <c r="AN520" s="21" t="n"/>
    </row>
    <row r="521" ht="22.05" customHeight="1">
      <c r="AN521" s="21" t="n"/>
    </row>
    <row r="522" ht="22.05" customHeight="1">
      <c r="AN522" s="21" t="n"/>
    </row>
    <row r="523" ht="22.05" customHeight="1">
      <c r="AN523" s="21" t="n"/>
    </row>
    <row r="524" ht="22.05" customHeight="1">
      <c r="AN524" s="21" t="n"/>
    </row>
    <row r="525" ht="22.05" customHeight="1">
      <c r="AN525" s="21" t="n"/>
    </row>
    <row r="526" ht="22.05" customHeight="1">
      <c r="AN526" s="21" t="n"/>
    </row>
    <row r="527" ht="22.05" customHeight="1">
      <c r="AN527" s="21" t="n"/>
    </row>
    <row r="528" ht="22.05" customHeight="1">
      <c r="AN528" s="21" t="n"/>
    </row>
    <row r="529" ht="22.05" customHeight="1">
      <c r="AN529" s="21" t="n"/>
    </row>
    <row r="530" ht="22.05" customHeight="1">
      <c r="AN530" s="21" t="n"/>
    </row>
    <row r="531" ht="22.05" customHeight="1">
      <c r="AN531" s="21" t="n"/>
    </row>
    <row r="532" ht="22.05" customHeight="1">
      <c r="AN532" s="21" t="n"/>
    </row>
    <row r="533" ht="22.05" customHeight="1">
      <c r="AN533" s="21" t="n"/>
    </row>
    <row r="534" ht="22.05" customHeight="1">
      <c r="AN534" s="21" t="n"/>
    </row>
    <row r="535" ht="22.05" customHeight="1">
      <c r="AN535" s="21" t="n"/>
    </row>
    <row r="536" ht="22.05" customHeight="1">
      <c r="AN536" s="21" t="n"/>
    </row>
    <row r="537" ht="22.05" customHeight="1">
      <c r="AN537" s="21" t="n"/>
    </row>
    <row r="538" ht="22.05" customHeight="1">
      <c r="AN538" s="21" t="n"/>
    </row>
    <row r="539" ht="22.05" customHeight="1">
      <c r="AN539" s="21" t="n"/>
    </row>
    <row r="540" ht="22.05" customHeight="1">
      <c r="AN540" s="21" t="n"/>
    </row>
    <row r="541" ht="22.05" customHeight="1">
      <c r="AN541" s="21" t="n"/>
    </row>
    <row r="542" ht="22.05" customHeight="1">
      <c r="AN542" s="21" t="n"/>
    </row>
    <row r="543" ht="22.05" customHeight="1">
      <c r="AN543" s="21" t="n"/>
    </row>
    <row r="544" ht="22.05" customHeight="1">
      <c r="AN544" s="21" t="n"/>
    </row>
    <row r="545" ht="22.05" customHeight="1">
      <c r="AN545" s="21" t="n"/>
    </row>
    <row r="546" ht="22.05" customHeight="1">
      <c r="AN546" s="21" t="n"/>
    </row>
    <row r="547" ht="22.05" customHeight="1">
      <c r="AN547" s="21" t="n"/>
    </row>
    <row r="548" ht="22.05" customHeight="1">
      <c r="AN548" s="21" t="n"/>
    </row>
    <row r="549" ht="22.05" customHeight="1">
      <c r="AN549" s="21" t="n"/>
    </row>
    <row r="550" ht="22.05" customHeight="1">
      <c r="AN550" s="21" t="n"/>
    </row>
    <row r="551" ht="22.05" customHeight="1">
      <c r="AN551" s="21" t="n"/>
    </row>
    <row r="552" ht="22.05" customHeight="1">
      <c r="AN552" s="21" t="n"/>
    </row>
    <row r="553" ht="22.05" customHeight="1">
      <c r="AN553" s="21" t="n"/>
    </row>
    <row r="554" ht="22.05" customHeight="1">
      <c r="AN554" s="21" t="n"/>
    </row>
    <row r="555" ht="22.05" customHeight="1">
      <c r="AN555" s="21" t="n"/>
    </row>
    <row r="556" ht="22.05" customHeight="1">
      <c r="AN556" s="21" t="n"/>
    </row>
    <row r="557" ht="22.05" customHeight="1">
      <c r="AN557" s="21" t="n"/>
    </row>
    <row r="558" ht="22.05" customHeight="1">
      <c r="AN558" s="21" t="n"/>
    </row>
    <row r="559" ht="22.05" customHeight="1">
      <c r="AN559" s="21" t="n"/>
    </row>
    <row r="560" ht="22.05" customHeight="1">
      <c r="AN560" s="21" t="n"/>
    </row>
    <row r="561" ht="22.05" customHeight="1">
      <c r="AN561" s="21" t="n"/>
    </row>
    <row r="562" ht="22.05" customHeight="1">
      <c r="AN562" s="21" t="n"/>
    </row>
    <row r="563" ht="22.05" customHeight="1">
      <c r="AN563" s="21" t="n"/>
    </row>
    <row r="564" ht="22.05" customHeight="1">
      <c r="AN564" s="21" t="n"/>
    </row>
    <row r="565" ht="22.05" customHeight="1">
      <c r="AN565" s="21" t="n"/>
    </row>
    <row r="566" ht="22.05" customHeight="1">
      <c r="AN566" s="21" t="n"/>
    </row>
    <row r="567" ht="22.05" customHeight="1">
      <c r="AN567" s="21" t="n"/>
    </row>
    <row r="568" ht="22.05" customHeight="1">
      <c r="AN568" s="21" t="n"/>
    </row>
    <row r="569" ht="22.05" customHeight="1">
      <c r="AN569" s="21" t="n"/>
    </row>
    <row r="570" ht="22.05" customHeight="1">
      <c r="AN570" s="21" t="n"/>
    </row>
    <row r="571" ht="22.05" customHeight="1">
      <c r="AN571" s="21" t="n"/>
    </row>
    <row r="572" ht="22.05" customHeight="1">
      <c r="AN572" s="21" t="n"/>
    </row>
    <row r="573" ht="15.75" customHeight="1">
      <c r="AN573" s="21" t="n"/>
    </row>
    <row r="574" ht="15.75" customHeight="1">
      <c r="AN574" s="21" t="n"/>
    </row>
    <row r="575" ht="15.75" customHeight="1">
      <c r="AN575" s="21" t="n"/>
    </row>
    <row r="576" ht="15.75" customHeight="1">
      <c r="AN576" s="21" t="n"/>
    </row>
    <row r="577" ht="15.75" customHeight="1">
      <c r="AN577" s="21" t="n"/>
    </row>
    <row r="578" ht="15.75" customHeight="1">
      <c r="AN578" s="21" t="n"/>
    </row>
    <row r="579" ht="15.75" customHeight="1">
      <c r="AN579" s="21" t="n"/>
    </row>
    <row r="580" ht="15.75" customHeight="1">
      <c r="AN580" s="21" t="n"/>
    </row>
    <row r="581" ht="15.75" customHeight="1">
      <c r="AN581" s="21" t="n"/>
    </row>
    <row r="582" ht="15.75" customHeight="1">
      <c r="AN582" s="21" t="n"/>
    </row>
    <row r="583" ht="15.75" customHeight="1">
      <c r="AN583" s="21" t="n"/>
    </row>
    <row r="584" ht="15.75" customHeight="1">
      <c r="AN584" s="21" t="n"/>
    </row>
    <row r="585" ht="15.75" customHeight="1">
      <c r="AN585" s="21" t="n"/>
    </row>
    <row r="586" ht="15.75" customHeight="1">
      <c r="AN586" s="21" t="n"/>
    </row>
    <row r="587" ht="15.75" customHeight="1">
      <c r="AN587" s="21" t="n"/>
    </row>
    <row r="588" ht="15.75" customHeight="1">
      <c r="AN588" s="21" t="n"/>
    </row>
    <row r="589" ht="15.75" customHeight="1">
      <c r="AN589" s="21" t="n"/>
    </row>
    <row r="590" ht="15.75" customHeight="1">
      <c r="AN590" s="21" t="n"/>
    </row>
    <row r="591" ht="15.75" customHeight="1">
      <c r="AN591" s="21" t="n"/>
    </row>
    <row r="592" ht="15.75" customHeight="1">
      <c r="AN592" s="21" t="n"/>
    </row>
    <row r="593" ht="15.75" customHeight="1">
      <c r="AN593" s="21" t="n"/>
    </row>
    <row r="594" ht="15.75" customHeight="1">
      <c r="AN594" s="21" t="n"/>
    </row>
    <row r="595" ht="15.75" customHeight="1">
      <c r="AN595" s="21" t="n"/>
    </row>
    <row r="596" ht="15.75" customHeight="1">
      <c r="AN596" s="21" t="n"/>
    </row>
    <row r="597" ht="15.75" customHeight="1">
      <c r="AN597" s="21" t="n"/>
    </row>
    <row r="598" ht="15.75" customHeight="1">
      <c r="AN598" s="21" t="n"/>
    </row>
    <row r="599" ht="15.75" customHeight="1">
      <c r="AN599" s="21" t="n"/>
    </row>
    <row r="600" ht="15.75" customHeight="1">
      <c r="AN600" s="21" t="n"/>
    </row>
    <row r="601" ht="15.75" customHeight="1">
      <c r="AN601" s="21" t="n"/>
    </row>
    <row r="602" ht="15.75" customHeight="1">
      <c r="AN602" s="21" t="n"/>
    </row>
    <row r="603" ht="15.75" customHeight="1">
      <c r="AN603" s="21" t="n"/>
    </row>
    <row r="604" ht="15.75" customHeight="1">
      <c r="AN604" s="21" t="n"/>
    </row>
    <row r="605" ht="15.75" customHeight="1">
      <c r="AN605" s="21" t="n"/>
    </row>
    <row r="606" ht="15.75" customHeight="1">
      <c r="AN606" s="21" t="n"/>
    </row>
    <row r="607" ht="15.75" customHeight="1">
      <c r="AN607" s="21" t="n"/>
    </row>
    <row r="608" ht="15.75" customHeight="1">
      <c r="AN608" s="21" t="n"/>
    </row>
    <row r="609" ht="15.75" customHeight="1">
      <c r="AN609" s="21" t="n"/>
    </row>
    <row r="610" ht="15.75" customHeight="1">
      <c r="AN610" s="21" t="n"/>
    </row>
    <row r="611" ht="15.75" customHeight="1">
      <c r="AN611" s="21" t="n"/>
    </row>
    <row r="612" ht="15.75" customHeight="1">
      <c r="AN612" s="21" t="n"/>
    </row>
    <row r="613" ht="15.75" customHeight="1">
      <c r="AN613" s="21" t="n"/>
    </row>
    <row r="614" ht="15.75" customHeight="1">
      <c r="AN614" s="21" t="n"/>
    </row>
    <row r="615" ht="15.75" customHeight="1">
      <c r="AN615" s="21" t="n"/>
    </row>
    <row r="616" ht="15.75" customHeight="1">
      <c r="AN616" s="21" t="n"/>
    </row>
    <row r="617" ht="15.75" customHeight="1">
      <c r="AN617" s="21" t="n"/>
    </row>
    <row r="618" ht="15.75" customHeight="1">
      <c r="AN618" s="21" t="n"/>
    </row>
    <row r="619" ht="15.75" customHeight="1">
      <c r="AN619" s="21" t="n"/>
    </row>
    <row r="620" ht="15.75" customHeight="1">
      <c r="AN620" s="21" t="n"/>
    </row>
    <row r="621" ht="15.75" customHeight="1">
      <c r="AN621" s="21" t="n"/>
    </row>
    <row r="622" ht="15.75" customHeight="1">
      <c r="AN622" s="21" t="n"/>
    </row>
    <row r="623" ht="15.75" customHeight="1">
      <c r="AN623" s="21" t="n"/>
    </row>
    <row r="624" ht="15.75" customHeight="1">
      <c r="AN624" s="21" t="n"/>
    </row>
    <row r="625" ht="15.75" customHeight="1">
      <c r="AN625" s="21" t="n"/>
    </row>
    <row r="626" ht="15.75" customHeight="1">
      <c r="AN626" s="21" t="n"/>
    </row>
    <row r="627" ht="15.75" customHeight="1">
      <c r="AN627" s="21" t="n"/>
    </row>
    <row r="628" ht="15.75" customHeight="1">
      <c r="AN628" s="21" t="n"/>
    </row>
    <row r="629" ht="15.75" customHeight="1">
      <c r="AN629" s="21" t="n"/>
    </row>
    <row r="630" ht="15.75" customHeight="1">
      <c r="AN630" s="21" t="n"/>
    </row>
    <row r="631" ht="15.75" customHeight="1">
      <c r="AN631" s="21" t="n"/>
    </row>
    <row r="632" ht="15.75" customHeight="1">
      <c r="AN632" s="21" t="n"/>
    </row>
    <row r="633" ht="15.75" customHeight="1">
      <c r="AN633" s="21" t="n"/>
    </row>
    <row r="634" ht="15.75" customHeight="1">
      <c r="AN634" s="21" t="n"/>
    </row>
    <row r="635" ht="15.75" customHeight="1">
      <c r="AN635" s="21" t="n"/>
    </row>
    <row r="636" ht="15.75" customHeight="1">
      <c r="AN636" s="21" t="n"/>
    </row>
    <row r="637" ht="15.75" customHeight="1">
      <c r="AN637" s="21" t="n"/>
    </row>
    <row r="638" ht="15.75" customHeight="1">
      <c r="AN638" s="21" t="n"/>
    </row>
    <row r="639" ht="15.75" customHeight="1">
      <c r="AN639" s="21" t="n"/>
    </row>
    <row r="640" ht="15.75" customHeight="1">
      <c r="AN640" s="21" t="n"/>
    </row>
    <row r="641" ht="15.75" customHeight="1">
      <c r="AN641" s="21" t="n"/>
    </row>
    <row r="642" ht="15.75" customHeight="1">
      <c r="AN642" s="21" t="n"/>
    </row>
    <row r="643" ht="15.75" customHeight="1">
      <c r="AN643" s="21" t="n"/>
    </row>
    <row r="644" ht="15.75" customHeight="1">
      <c r="AN644" s="21" t="n"/>
    </row>
    <row r="645" ht="15.75" customHeight="1">
      <c r="AN645" s="21" t="n"/>
    </row>
    <row r="646" ht="15.75" customHeight="1">
      <c r="AN646" s="21" t="n"/>
    </row>
    <row r="647" ht="15.75" customHeight="1">
      <c r="AN647" s="21" t="n"/>
    </row>
    <row r="648" ht="15.75" customHeight="1">
      <c r="AN648" s="21" t="n"/>
    </row>
    <row r="649" ht="15.75" customHeight="1">
      <c r="AN649" s="21" t="n"/>
    </row>
    <row r="650" ht="15.75" customHeight="1">
      <c r="AN650" s="21" t="n"/>
    </row>
    <row r="651" ht="15.75" customHeight="1">
      <c r="AN651" s="21" t="n"/>
    </row>
    <row r="652" ht="15.75" customHeight="1">
      <c r="AN652" s="21" t="n"/>
    </row>
    <row r="653" ht="15.75" customHeight="1">
      <c r="AN653" s="21" t="n"/>
    </row>
    <row r="654" ht="15.75" customHeight="1">
      <c r="AN654" s="21" t="n"/>
    </row>
    <row r="655" ht="15.75" customHeight="1">
      <c r="AN655" s="21" t="n"/>
    </row>
    <row r="656" ht="15.75" customHeight="1">
      <c r="AN656" s="21" t="n"/>
    </row>
    <row r="657" ht="15.75" customHeight="1">
      <c r="AN657" s="21" t="n"/>
    </row>
    <row r="658" ht="15.75" customHeight="1">
      <c r="AN658" s="21" t="n"/>
    </row>
    <row r="659" ht="15.75" customHeight="1">
      <c r="AN659" s="21" t="n"/>
    </row>
    <row r="660" ht="15.75" customHeight="1">
      <c r="AN660" s="21" t="n"/>
    </row>
    <row r="661" ht="15.75" customHeight="1">
      <c r="AN661" s="21" t="n"/>
    </row>
    <row r="662" ht="15.75" customHeight="1">
      <c r="AN662" s="21" t="n"/>
    </row>
    <row r="663" ht="15.75" customHeight="1">
      <c r="AN663" s="21" t="n"/>
    </row>
    <row r="664" ht="15.75" customHeight="1">
      <c r="AN664" s="21" t="n"/>
    </row>
    <row r="665" ht="15.75" customHeight="1">
      <c r="AN665" s="21" t="n"/>
    </row>
    <row r="666" ht="15.75" customHeight="1">
      <c r="AN666" s="21" t="n"/>
    </row>
    <row r="667" ht="15.75" customHeight="1">
      <c r="AN667" s="21" t="n"/>
    </row>
    <row r="668" ht="15.75" customHeight="1">
      <c r="AN668" s="21" t="n"/>
    </row>
    <row r="669" ht="15.75" customHeight="1">
      <c r="AN669" s="21" t="n"/>
    </row>
    <row r="670" ht="15.75" customHeight="1">
      <c r="AN670" s="21" t="n"/>
    </row>
    <row r="671" ht="15.75" customHeight="1">
      <c r="AN671" s="21" t="n"/>
    </row>
    <row r="672" ht="15.75" customHeight="1">
      <c r="AN672" s="21" t="n"/>
    </row>
    <row r="673" ht="15.75" customHeight="1">
      <c r="AN673" s="21" t="n"/>
    </row>
    <row r="674" ht="15.75" customHeight="1">
      <c r="AN674" s="21" t="n"/>
    </row>
    <row r="675" ht="15.75" customHeight="1">
      <c r="AN675" s="21" t="n"/>
    </row>
    <row r="676" ht="15.75" customHeight="1">
      <c r="AN676" s="21" t="n"/>
    </row>
    <row r="677" ht="15.75" customHeight="1">
      <c r="AN677" s="21" t="n"/>
    </row>
    <row r="678" ht="15.75" customHeight="1">
      <c r="AN678" s="21" t="n"/>
    </row>
    <row r="679" ht="15.75" customHeight="1">
      <c r="AN679" s="21" t="n"/>
    </row>
    <row r="680" ht="15.75" customHeight="1">
      <c r="AN680" s="21" t="n"/>
    </row>
    <row r="681" ht="15.75" customHeight="1">
      <c r="AN681" s="21" t="n"/>
    </row>
    <row r="682" ht="15.75" customHeight="1">
      <c r="AN682" s="21" t="n"/>
    </row>
    <row r="683" ht="15.75" customHeight="1">
      <c r="AN683" s="21" t="n"/>
    </row>
    <row r="684" ht="15.75" customHeight="1">
      <c r="AN684" s="21" t="n"/>
    </row>
    <row r="685" ht="15.75" customHeight="1">
      <c r="AN685" s="21" t="n"/>
    </row>
    <row r="686" ht="15.75" customHeight="1">
      <c r="AN686" s="21" t="n"/>
    </row>
    <row r="687" ht="15.75" customHeight="1">
      <c r="AN687" s="21" t="n"/>
    </row>
    <row r="688" ht="15.75" customHeight="1">
      <c r="AN688" s="21" t="n"/>
    </row>
    <row r="689" ht="15.75" customHeight="1">
      <c r="AN689" s="21" t="n"/>
    </row>
    <row r="690" ht="15.75" customHeight="1">
      <c r="AN690" s="21" t="n"/>
    </row>
    <row r="691" ht="15.75" customHeight="1">
      <c r="AN691" s="21" t="n"/>
    </row>
    <row r="692" ht="15.75" customHeight="1">
      <c r="AN692" s="21" t="n"/>
    </row>
    <row r="693" ht="15.75" customHeight="1">
      <c r="AN693" s="21" t="n"/>
    </row>
    <row r="694" ht="15.75" customHeight="1">
      <c r="AN694" s="21" t="n"/>
    </row>
    <row r="695" ht="15.75" customHeight="1">
      <c r="AN695" s="21" t="n"/>
    </row>
    <row r="696" ht="15.75" customHeight="1">
      <c r="AN696" s="21" t="n"/>
    </row>
    <row r="697" ht="15.75" customHeight="1">
      <c r="AN697" s="21" t="n"/>
    </row>
    <row r="698" ht="15.75" customHeight="1">
      <c r="AN698" s="21" t="n"/>
    </row>
    <row r="699" ht="15.75" customHeight="1">
      <c r="AN699" s="21" t="n"/>
    </row>
    <row r="700" ht="15.75" customHeight="1">
      <c r="AN700" s="21" t="n"/>
    </row>
    <row r="701" ht="15.75" customHeight="1">
      <c r="AN701" s="21" t="n"/>
    </row>
    <row r="702" ht="15.75" customHeight="1">
      <c r="AN702" s="21" t="n"/>
    </row>
    <row r="703" ht="15.75" customHeight="1">
      <c r="AN703" s="21" t="n"/>
    </row>
    <row r="704" ht="15.75" customHeight="1">
      <c r="AN704" s="21" t="n"/>
    </row>
    <row r="705" ht="15.75" customHeight="1">
      <c r="AN705" s="21" t="n"/>
    </row>
    <row r="706" ht="15.75" customHeight="1">
      <c r="AN706" s="21" t="n"/>
    </row>
    <row r="707" ht="15.75" customHeight="1">
      <c r="AN707" s="21" t="n"/>
    </row>
    <row r="708" ht="15.75" customHeight="1">
      <c r="AN708" s="21" t="n"/>
    </row>
    <row r="709" ht="15.75" customHeight="1">
      <c r="AN709" s="21" t="n"/>
    </row>
    <row r="710" ht="15.75" customHeight="1">
      <c r="AN710" s="21" t="n"/>
    </row>
    <row r="711" ht="15.75" customHeight="1">
      <c r="AN711" s="21" t="n"/>
    </row>
    <row r="712" ht="15.75" customHeight="1">
      <c r="AN712" s="21" t="n"/>
    </row>
    <row r="713" ht="15.75" customHeight="1">
      <c r="AN713" s="21" t="n"/>
    </row>
    <row r="714" ht="15.75" customHeight="1">
      <c r="AN714" s="21" t="n"/>
    </row>
    <row r="715" ht="15.75" customHeight="1">
      <c r="AN715" s="21" t="n"/>
    </row>
    <row r="716" ht="15.75" customHeight="1">
      <c r="AN716" s="21" t="n"/>
    </row>
    <row r="717" ht="15.75" customHeight="1">
      <c r="AN717" s="21" t="n"/>
    </row>
    <row r="718" ht="15.75" customHeight="1">
      <c r="AN718" s="21" t="n"/>
    </row>
    <row r="719" ht="15.75" customHeight="1">
      <c r="AN719" s="21" t="n"/>
    </row>
    <row r="720" ht="15.75" customHeight="1">
      <c r="AN720" s="21" t="n"/>
    </row>
    <row r="721" ht="15.75" customHeight="1">
      <c r="AN721" s="21" t="n"/>
    </row>
    <row r="722" ht="15.75" customHeight="1">
      <c r="AN722" s="21" t="n"/>
    </row>
    <row r="723" ht="15.75" customHeight="1">
      <c r="AN723" s="21" t="n"/>
    </row>
    <row r="724" ht="15.75" customHeight="1">
      <c r="AN724" s="21" t="n"/>
    </row>
    <row r="725" ht="15.75" customHeight="1">
      <c r="AN725" s="21" t="n"/>
    </row>
    <row r="726" ht="15.75" customHeight="1">
      <c r="AN726" s="21" t="n"/>
    </row>
    <row r="727" ht="15.75" customHeight="1">
      <c r="AN727" s="21" t="n"/>
    </row>
    <row r="728" ht="15.75" customHeight="1">
      <c r="AN728" s="21" t="n"/>
    </row>
    <row r="729" ht="15.75" customHeight="1">
      <c r="AN729" s="21" t="n"/>
    </row>
    <row r="730" ht="15.75" customHeight="1">
      <c r="AN730" s="21" t="n"/>
    </row>
    <row r="731" ht="15.75" customHeight="1">
      <c r="AN731" s="21" t="n"/>
    </row>
    <row r="732" ht="15.75" customHeight="1">
      <c r="AN732" s="21" t="n"/>
    </row>
    <row r="733" ht="15.75" customHeight="1">
      <c r="AN733" s="21" t="n"/>
    </row>
    <row r="734" ht="15.75" customHeight="1">
      <c r="AN734" s="21" t="n"/>
    </row>
    <row r="735" ht="15.75" customHeight="1">
      <c r="AN735" s="21" t="n"/>
    </row>
    <row r="736" ht="15.75" customHeight="1">
      <c r="AN736" s="21" t="n"/>
    </row>
    <row r="737" ht="15.75" customHeight="1">
      <c r="AN737" s="21" t="n"/>
    </row>
    <row r="738" ht="15.75" customHeight="1">
      <c r="AN738" s="21" t="n"/>
    </row>
    <row r="739" ht="15.75" customHeight="1">
      <c r="AN739" s="21" t="n"/>
    </row>
    <row r="740" ht="15.75" customHeight="1">
      <c r="AN740" s="21" t="n"/>
    </row>
    <row r="741" ht="15.75" customHeight="1">
      <c r="AN741" s="21" t="n"/>
    </row>
    <row r="742" ht="15.75" customHeight="1">
      <c r="AN742" s="21" t="n"/>
    </row>
    <row r="743" ht="15.75" customHeight="1">
      <c r="AN743" s="21" t="n"/>
    </row>
    <row r="744" ht="15.75" customHeight="1">
      <c r="AN744" s="21" t="n"/>
    </row>
    <row r="745" ht="15.75" customHeight="1">
      <c r="AN745" s="21" t="n"/>
    </row>
    <row r="746" ht="15.75" customHeight="1">
      <c r="AN746" s="21" t="n"/>
    </row>
    <row r="747" ht="15.75" customHeight="1">
      <c r="AN747" s="21" t="n"/>
    </row>
    <row r="748" ht="15.75" customHeight="1">
      <c r="AN748" s="21" t="n"/>
    </row>
    <row r="749" ht="15.75" customHeight="1">
      <c r="AN749" s="21" t="n"/>
    </row>
    <row r="750" ht="15.75" customHeight="1">
      <c r="AN750" s="21" t="n"/>
    </row>
    <row r="751" ht="15.75" customHeight="1">
      <c r="AN751" s="21" t="n"/>
    </row>
    <row r="752" ht="15.75" customHeight="1">
      <c r="AN752" s="21" t="n"/>
    </row>
    <row r="753" ht="15.75" customHeight="1">
      <c r="AN753" s="21" t="n"/>
    </row>
    <row r="754" ht="15.75" customHeight="1">
      <c r="AN754" s="21" t="n"/>
    </row>
    <row r="755" ht="15.75" customHeight="1">
      <c r="AN755" s="21" t="n"/>
    </row>
    <row r="756" ht="15.75" customHeight="1">
      <c r="AN756" s="21" t="n"/>
    </row>
    <row r="757" ht="15.75" customHeight="1">
      <c r="AN757" s="21" t="n"/>
    </row>
    <row r="758" ht="15.75" customHeight="1">
      <c r="AN758" s="21" t="n"/>
    </row>
    <row r="759" ht="15.75" customHeight="1">
      <c r="AN759" s="21" t="n"/>
    </row>
    <row r="760" ht="15.75" customHeight="1">
      <c r="AN760" s="21" t="n"/>
    </row>
    <row r="761" ht="15.75" customHeight="1">
      <c r="AN761" s="21" t="n"/>
    </row>
    <row r="762" ht="15.75" customHeight="1">
      <c r="AN762" s="21" t="n"/>
    </row>
    <row r="763" ht="15.75" customHeight="1">
      <c r="AN763" s="21" t="n"/>
    </row>
    <row r="764" ht="15.75" customHeight="1">
      <c r="AN764" s="21" t="n"/>
    </row>
    <row r="765" ht="15.75" customHeight="1">
      <c r="AN765" s="21" t="n"/>
    </row>
    <row r="766" ht="15.75" customHeight="1">
      <c r="AN766" s="21" t="n"/>
    </row>
    <row r="767" ht="15.75" customHeight="1">
      <c r="AN767" s="21" t="n"/>
    </row>
    <row r="768" ht="15.75" customHeight="1">
      <c r="AN768" s="21" t="n"/>
    </row>
    <row r="769" ht="15.75" customHeight="1">
      <c r="AN769" s="21" t="n"/>
    </row>
    <row r="770" ht="15.75" customHeight="1">
      <c r="AN770" s="21" t="n"/>
    </row>
    <row r="771" ht="15.75" customHeight="1">
      <c r="AN771" s="21" t="n"/>
    </row>
    <row r="772" ht="15.75" customHeight="1">
      <c r="AN772" s="21" t="n"/>
    </row>
    <row r="773" ht="15.75" customHeight="1">
      <c r="AN773" s="21" t="n"/>
    </row>
    <row r="774" ht="15.75" customHeight="1">
      <c r="AN774" s="21" t="n"/>
    </row>
    <row r="775" ht="15.75" customHeight="1">
      <c r="AN775" s="21" t="n"/>
    </row>
    <row r="776" ht="15.75" customHeight="1">
      <c r="AN776" s="21" t="n"/>
    </row>
    <row r="777" ht="15.75" customHeight="1">
      <c r="AN777" s="21" t="n"/>
    </row>
    <row r="778" ht="15.75" customHeight="1">
      <c r="AN778" s="21" t="n"/>
    </row>
    <row r="779" ht="15.75" customHeight="1">
      <c r="AN779" s="21" t="n"/>
    </row>
    <row r="780" ht="15.75" customHeight="1">
      <c r="AN780" s="21" t="n"/>
    </row>
    <row r="781" ht="15.75" customHeight="1">
      <c r="AN781" s="21" t="n"/>
    </row>
    <row r="782" ht="15.75" customHeight="1">
      <c r="AN782" s="21" t="n"/>
    </row>
    <row r="783" ht="15.75" customHeight="1">
      <c r="AN783" s="21" t="n"/>
    </row>
    <row r="784" ht="15.75" customHeight="1">
      <c r="AN784" s="21" t="n"/>
    </row>
    <row r="785" ht="15.75" customHeight="1">
      <c r="AN785" s="21" t="n"/>
    </row>
    <row r="786" ht="15.75" customHeight="1">
      <c r="AN786" s="21" t="n"/>
    </row>
    <row r="787" ht="15.75" customHeight="1">
      <c r="AN787" s="21" t="n"/>
    </row>
    <row r="788" ht="15.75" customHeight="1">
      <c r="AN788" s="21" t="n"/>
    </row>
    <row r="789" ht="15.75" customHeight="1">
      <c r="AN789" s="21" t="n"/>
    </row>
    <row r="790" ht="15.75" customHeight="1">
      <c r="AN790" s="21" t="n"/>
    </row>
    <row r="791" ht="15.75" customHeight="1">
      <c r="AN791" s="21" t="n"/>
    </row>
    <row r="792" ht="15.75" customHeight="1">
      <c r="AN792" s="21" t="n"/>
    </row>
    <row r="793" ht="15.75" customHeight="1">
      <c r="AN793" s="21" t="n"/>
    </row>
    <row r="794" ht="15.75" customHeight="1">
      <c r="AN794" s="21" t="n"/>
    </row>
    <row r="795" ht="15.75" customHeight="1">
      <c r="AN795" s="21" t="n"/>
    </row>
    <row r="796" ht="15.75" customHeight="1">
      <c r="AN796" s="21" t="n"/>
    </row>
    <row r="797" ht="15.75" customHeight="1">
      <c r="AN797" s="21" t="n"/>
    </row>
    <row r="798" ht="15.75" customHeight="1">
      <c r="AN798" s="21" t="n"/>
    </row>
    <row r="799" ht="15.75" customHeight="1">
      <c r="AN799" s="21" t="n"/>
    </row>
    <row r="800" ht="15.75" customHeight="1">
      <c r="AN800" s="21" t="n"/>
    </row>
    <row r="801" ht="15.75" customHeight="1">
      <c r="AN801" s="21" t="n"/>
    </row>
    <row r="802" ht="15.75" customHeight="1">
      <c r="AN802" s="21" t="n"/>
    </row>
    <row r="803" ht="15.75" customHeight="1">
      <c r="AN803" s="21" t="n"/>
    </row>
    <row r="804" ht="15.75" customHeight="1">
      <c r="AN804" s="21" t="n"/>
    </row>
    <row r="805" ht="15.75" customHeight="1">
      <c r="AN805" s="21" t="n"/>
    </row>
    <row r="806" ht="15.75" customHeight="1">
      <c r="AN806" s="21" t="n"/>
    </row>
    <row r="807" ht="15.75" customHeight="1">
      <c r="AN807" s="21" t="n"/>
    </row>
    <row r="808" ht="15.75" customHeight="1">
      <c r="AN808" s="21" t="n"/>
    </row>
    <row r="809" ht="15.75" customHeight="1">
      <c r="AN809" s="21" t="n"/>
    </row>
    <row r="810" ht="15.75" customHeight="1">
      <c r="AN810" s="21" t="n"/>
    </row>
    <row r="811" ht="15.75" customHeight="1">
      <c r="AN811" s="21" t="n"/>
    </row>
    <row r="812" ht="15.75" customHeight="1">
      <c r="AN812" s="21" t="n"/>
    </row>
    <row r="813" ht="15.75" customHeight="1">
      <c r="AN813" s="21" t="n"/>
    </row>
    <row r="814" ht="15.75" customHeight="1">
      <c r="AN814" s="21" t="n"/>
    </row>
    <row r="815" ht="15.75" customHeight="1">
      <c r="AN815" s="21" t="n"/>
    </row>
    <row r="816" ht="15.75" customHeight="1">
      <c r="AN816" s="21" t="n"/>
    </row>
    <row r="817" ht="15.75" customHeight="1">
      <c r="AN817" s="21" t="n"/>
    </row>
    <row r="818" ht="15.75" customHeight="1">
      <c r="AN818" s="21" t="n"/>
    </row>
    <row r="819" ht="15.75" customHeight="1">
      <c r="AN819" s="21" t="n"/>
    </row>
    <row r="820" ht="15.75" customHeight="1">
      <c r="AN820" s="21" t="n"/>
    </row>
    <row r="821" ht="15.75" customHeight="1">
      <c r="AN821" s="21" t="n"/>
    </row>
    <row r="822" ht="15.75" customHeight="1">
      <c r="AN822" s="21" t="n"/>
    </row>
    <row r="823" ht="15.75" customHeight="1">
      <c r="AN823" s="21" t="n"/>
    </row>
    <row r="824" ht="15.75" customHeight="1">
      <c r="AN824" s="21" t="n"/>
    </row>
    <row r="825" ht="15.75" customHeight="1">
      <c r="AN825" s="21" t="n"/>
    </row>
    <row r="826" ht="15.75" customHeight="1">
      <c r="AN826" s="21" t="n"/>
    </row>
    <row r="827" ht="15.75" customHeight="1">
      <c r="AN827" s="21" t="n"/>
    </row>
    <row r="828" ht="15.75" customHeight="1">
      <c r="AN828" s="21" t="n"/>
    </row>
    <row r="829" ht="15.75" customHeight="1">
      <c r="AN829" s="21" t="n"/>
    </row>
    <row r="830" ht="15.75" customHeight="1">
      <c r="AN830" s="21" t="n"/>
    </row>
    <row r="831" ht="15.75" customHeight="1">
      <c r="AN831" s="21" t="n"/>
    </row>
    <row r="832" ht="15.75" customHeight="1">
      <c r="AN832" s="21" t="n"/>
    </row>
    <row r="833" ht="15.75" customHeight="1">
      <c r="AN833" s="21" t="n"/>
    </row>
    <row r="834" ht="15.75" customHeight="1">
      <c r="AN834" s="21" t="n"/>
    </row>
    <row r="835" ht="15.75" customHeight="1">
      <c r="AN835" s="21" t="n"/>
    </row>
    <row r="836" ht="15.75" customHeight="1">
      <c r="AN836" s="21" t="n"/>
    </row>
    <row r="837" ht="15.75" customHeight="1">
      <c r="AN837" s="21" t="n"/>
    </row>
    <row r="838" ht="15.75" customHeight="1">
      <c r="AN838" s="21" t="n"/>
    </row>
    <row r="839" ht="15.75" customHeight="1">
      <c r="AN839" s="21" t="n"/>
    </row>
    <row r="840" ht="15.75" customHeight="1">
      <c r="AN840" s="21" t="n"/>
    </row>
    <row r="841" ht="15.75" customHeight="1">
      <c r="AN841" s="21" t="n"/>
    </row>
    <row r="842" ht="15.75" customHeight="1">
      <c r="AN842" s="21" t="n"/>
    </row>
    <row r="843" ht="15.75" customHeight="1">
      <c r="AN843" s="21" t="n"/>
    </row>
    <row r="844" ht="15.75" customHeight="1">
      <c r="AN844" s="21" t="n"/>
    </row>
    <row r="845" ht="15.75" customHeight="1">
      <c r="AN845" s="21" t="n"/>
    </row>
    <row r="846" ht="15.75" customHeight="1">
      <c r="AN846" s="21" t="n"/>
    </row>
    <row r="847" ht="15.75" customHeight="1">
      <c r="AN847" s="21" t="n"/>
    </row>
    <row r="848" ht="15.75" customHeight="1">
      <c r="AN848" s="21" t="n"/>
    </row>
    <row r="849" ht="15.75" customHeight="1">
      <c r="AN849" s="21" t="n"/>
    </row>
    <row r="850" ht="15.75" customHeight="1">
      <c r="AN850" s="21" t="n"/>
    </row>
    <row r="851" ht="15.75" customHeight="1">
      <c r="AN851" s="21" t="n"/>
    </row>
    <row r="852" ht="15.75" customHeight="1">
      <c r="AN852" s="21" t="n"/>
    </row>
    <row r="853" ht="15.75" customHeight="1">
      <c r="AN853" s="21" t="n"/>
    </row>
    <row r="854" ht="15.75" customHeight="1">
      <c r="AN854" s="21" t="n"/>
    </row>
    <row r="855" ht="15.75" customHeight="1">
      <c r="AN855" s="21" t="n"/>
    </row>
    <row r="856" ht="15.75" customHeight="1">
      <c r="AN856" s="21" t="n"/>
    </row>
    <row r="857" ht="15.75" customHeight="1">
      <c r="AN857" s="21" t="n"/>
    </row>
    <row r="858" ht="15.75" customHeight="1">
      <c r="AN858" s="21" t="n"/>
    </row>
    <row r="859" ht="15.75" customHeight="1">
      <c r="AN859" s="21" t="n"/>
    </row>
    <row r="860" ht="15.75" customHeight="1">
      <c r="AN860" s="21" t="n"/>
    </row>
    <row r="861" ht="15.75" customHeight="1">
      <c r="AN861" s="21" t="n"/>
    </row>
    <row r="862" ht="15.75" customHeight="1">
      <c r="AN862" s="21" t="n"/>
    </row>
    <row r="863" ht="15.75" customHeight="1">
      <c r="AN863" s="21" t="n"/>
    </row>
    <row r="864" ht="15.75" customHeight="1">
      <c r="AN864" s="21" t="n"/>
    </row>
    <row r="865" ht="15.75" customHeight="1">
      <c r="AN865" s="21" t="n"/>
    </row>
    <row r="866" ht="15.75" customHeight="1">
      <c r="AN866" s="21" t="n"/>
    </row>
    <row r="867" ht="15.75" customHeight="1">
      <c r="AN867" s="21" t="n"/>
    </row>
    <row r="868" ht="15.75" customHeight="1">
      <c r="AN868" s="21" t="n"/>
    </row>
    <row r="869" ht="15.75" customHeight="1">
      <c r="AN869" s="21" t="n"/>
    </row>
    <row r="870" ht="15.75" customHeight="1">
      <c r="AN870" s="21" t="n"/>
    </row>
    <row r="871" ht="15.75" customHeight="1">
      <c r="AN871" s="21" t="n"/>
    </row>
    <row r="872" ht="15.75" customHeight="1">
      <c r="AN872" s="21" t="n"/>
    </row>
    <row r="873" ht="15.75" customHeight="1">
      <c r="AN873" s="21" t="n"/>
    </row>
    <row r="874" ht="15.75" customHeight="1">
      <c r="AN874" s="21" t="n"/>
    </row>
    <row r="875" ht="15.75" customHeight="1">
      <c r="AN875" s="21" t="n"/>
    </row>
    <row r="876" ht="15.75" customHeight="1">
      <c r="AN876" s="21" t="n"/>
    </row>
    <row r="877" ht="15.75" customHeight="1">
      <c r="AN877" s="21" t="n"/>
    </row>
    <row r="878" ht="15.75" customHeight="1">
      <c r="AN878" s="21" t="n"/>
    </row>
    <row r="879" ht="15.75" customHeight="1">
      <c r="AN879" s="21" t="n"/>
    </row>
    <row r="880" ht="15.75" customHeight="1">
      <c r="AN880" s="21" t="n"/>
    </row>
    <row r="881" ht="15.75" customHeight="1">
      <c r="AN881" s="21" t="n"/>
    </row>
    <row r="882" ht="15.75" customHeight="1">
      <c r="AN882" s="21" t="n"/>
    </row>
    <row r="883" ht="15.75" customHeight="1">
      <c r="AN883" s="21" t="n"/>
    </row>
    <row r="884" ht="15.75" customHeight="1">
      <c r="AN884" s="21" t="n"/>
    </row>
    <row r="885" ht="15.75" customHeight="1">
      <c r="AN885" s="21" t="n"/>
    </row>
    <row r="886" ht="15.75" customHeight="1">
      <c r="AN886" s="21" t="n"/>
    </row>
    <row r="887" ht="15.75" customHeight="1">
      <c r="AN887" s="21" t="n"/>
    </row>
    <row r="888" ht="15.75" customHeight="1">
      <c r="AN888" s="21" t="n"/>
    </row>
    <row r="889" ht="15.75" customHeight="1">
      <c r="AN889" s="21" t="n"/>
    </row>
    <row r="890" ht="15.75" customHeight="1">
      <c r="AN890" s="21" t="n"/>
    </row>
    <row r="891" ht="15.75" customHeight="1">
      <c r="AN891" s="21" t="n"/>
    </row>
    <row r="892" ht="15.75" customHeight="1">
      <c r="AN892" s="21" t="n"/>
    </row>
    <row r="893" ht="15.75" customHeight="1">
      <c r="AN893" s="21" t="n"/>
    </row>
    <row r="894" ht="15.75" customHeight="1">
      <c r="AN894" s="21" t="n"/>
    </row>
    <row r="895" ht="15.75" customHeight="1">
      <c r="AN895" s="21" t="n"/>
    </row>
    <row r="896" ht="15.75" customHeight="1">
      <c r="AN896" s="21" t="n"/>
    </row>
    <row r="897" ht="15.75" customHeight="1">
      <c r="AN897" s="21" t="n"/>
    </row>
    <row r="898" ht="15.75" customHeight="1">
      <c r="AN898" s="21" t="n"/>
    </row>
    <row r="899" ht="15.75" customHeight="1">
      <c r="AN899" s="21" t="n"/>
    </row>
    <row r="900" ht="15.75" customHeight="1">
      <c r="AN900" s="21" t="n"/>
    </row>
    <row r="901" ht="15.75" customHeight="1">
      <c r="AN901" s="21" t="n"/>
    </row>
    <row r="902" ht="15.75" customHeight="1">
      <c r="AN902" s="21" t="n"/>
    </row>
    <row r="903" ht="15.75" customHeight="1">
      <c r="AN903" s="21" t="n"/>
    </row>
    <row r="904" ht="15.75" customHeight="1">
      <c r="AN904" s="21" t="n"/>
    </row>
    <row r="905" ht="15.75" customHeight="1">
      <c r="AN905" s="21" t="n"/>
    </row>
    <row r="906" ht="15.75" customHeight="1">
      <c r="AN906" s="21" t="n"/>
    </row>
    <row r="907" ht="15.75" customHeight="1">
      <c r="AN907" s="21" t="n"/>
    </row>
    <row r="908" ht="15.75" customHeight="1">
      <c r="AN908" s="21" t="n"/>
    </row>
    <row r="909" ht="15.75" customHeight="1">
      <c r="AN909" s="21" t="n"/>
    </row>
    <row r="910" ht="15.75" customHeight="1">
      <c r="AN910" s="21" t="n"/>
    </row>
    <row r="911" ht="15.75" customHeight="1">
      <c r="AN911" s="21" t="n"/>
    </row>
    <row r="912" ht="15.75" customHeight="1">
      <c r="AN912" s="21" t="n"/>
    </row>
    <row r="913" ht="15.75" customHeight="1">
      <c r="AN913" s="21" t="n"/>
    </row>
    <row r="914" ht="15.75" customHeight="1">
      <c r="AN914" s="21" t="n"/>
    </row>
    <row r="915" ht="15.75" customHeight="1">
      <c r="AN915" s="21" t="n"/>
    </row>
    <row r="916" ht="15.75" customHeight="1">
      <c r="AN916" s="21" t="n"/>
    </row>
    <row r="917" ht="15.75" customHeight="1">
      <c r="AN917" s="21" t="n"/>
    </row>
    <row r="918" ht="15.75" customHeight="1">
      <c r="AN918" s="21" t="n"/>
    </row>
    <row r="919" ht="15.75" customHeight="1">
      <c r="AN919" s="21" t="n"/>
    </row>
    <row r="920" ht="15.75" customHeight="1">
      <c r="AN920" s="21" t="n"/>
    </row>
    <row r="921" ht="15.75" customHeight="1">
      <c r="AN921" s="21" t="n"/>
    </row>
    <row r="922" ht="15.75" customHeight="1">
      <c r="AN922" s="21" t="n"/>
    </row>
    <row r="923" ht="15.75" customHeight="1">
      <c r="AN923" s="21" t="n"/>
    </row>
    <row r="924" ht="15.75" customHeight="1">
      <c r="AN924" s="21" t="n"/>
    </row>
    <row r="925" ht="15.75" customHeight="1">
      <c r="AN925" s="21" t="n"/>
    </row>
    <row r="926" ht="15.75" customHeight="1">
      <c r="AN926" s="21" t="n"/>
    </row>
    <row r="927" ht="15.75" customHeight="1">
      <c r="AN927" s="21" t="n"/>
    </row>
    <row r="928" ht="15.75" customHeight="1">
      <c r="AN928" s="21" t="n"/>
    </row>
    <row r="929" ht="15.75" customHeight="1">
      <c r="AN929" s="21" t="n"/>
    </row>
    <row r="930" ht="15.75" customHeight="1">
      <c r="AN930" s="21" t="n"/>
    </row>
    <row r="931" ht="15.75" customHeight="1">
      <c r="AN931" s="21" t="n"/>
    </row>
    <row r="932" ht="15.75" customHeight="1">
      <c r="AN932" s="21" t="n"/>
    </row>
    <row r="933" ht="15.75" customHeight="1">
      <c r="AN933" s="21" t="n"/>
    </row>
    <row r="934" ht="15.75" customHeight="1">
      <c r="AN934" s="21" t="n"/>
    </row>
    <row r="935" ht="15.75" customHeight="1">
      <c r="AN935" s="21" t="n"/>
    </row>
    <row r="936" ht="15.75" customHeight="1">
      <c r="AN936" s="21" t="n"/>
    </row>
    <row r="937" ht="15.75" customHeight="1">
      <c r="AN937" s="21" t="n"/>
    </row>
    <row r="938" ht="15.75" customHeight="1">
      <c r="AN938" s="21" t="n"/>
    </row>
    <row r="939" ht="15.75" customHeight="1">
      <c r="AN939" s="21" t="n"/>
    </row>
    <row r="940" ht="15.75" customHeight="1">
      <c r="AN940" s="21" t="n"/>
    </row>
    <row r="941" ht="15.75" customHeight="1">
      <c r="AN941" s="21" t="n"/>
    </row>
    <row r="942" ht="15.75" customHeight="1">
      <c r="AN942" s="21" t="n"/>
    </row>
    <row r="943" ht="15.75" customHeight="1">
      <c r="AN943" s="21" t="n"/>
    </row>
    <row r="944" ht="15.75" customHeight="1">
      <c r="AN944" s="21" t="n"/>
    </row>
    <row r="945" ht="15.75" customHeight="1">
      <c r="AN945" s="21" t="n"/>
    </row>
    <row r="946" ht="15.75" customHeight="1">
      <c r="AN946" s="21" t="n"/>
    </row>
    <row r="947" ht="15.75" customHeight="1">
      <c r="AN947" s="21" t="n"/>
    </row>
    <row r="948" ht="15.75" customHeight="1">
      <c r="AN948" s="21" t="n"/>
    </row>
    <row r="949" ht="15.75" customHeight="1">
      <c r="AN949" s="21" t="n"/>
    </row>
    <row r="950" ht="15.75" customHeight="1">
      <c r="AN950" s="21" t="n"/>
    </row>
    <row r="951" ht="15.75" customHeight="1">
      <c r="AN951" s="21" t="n"/>
    </row>
    <row r="952" ht="15.75" customHeight="1">
      <c r="AN952" s="21" t="n"/>
    </row>
    <row r="953" ht="15.75" customHeight="1">
      <c r="AN953" s="21" t="n"/>
    </row>
    <row r="954" ht="15.75" customHeight="1">
      <c r="AN954" s="21" t="n"/>
    </row>
    <row r="955" ht="15.75" customHeight="1">
      <c r="AN955" s="21" t="n"/>
    </row>
    <row r="956" ht="15.75" customHeight="1">
      <c r="AN956" s="21" t="n"/>
    </row>
    <row r="957" ht="15.75" customHeight="1">
      <c r="AN957" s="21" t="n"/>
    </row>
    <row r="958" ht="15.75" customHeight="1">
      <c r="AN958" s="21" t="n"/>
    </row>
    <row r="959" ht="15.75" customHeight="1">
      <c r="AN959" s="21" t="n"/>
    </row>
    <row r="960" ht="15.75" customHeight="1">
      <c r="AN960" s="21" t="n"/>
    </row>
    <row r="961" ht="15.75" customHeight="1">
      <c r="AN961" s="21" t="n"/>
    </row>
    <row r="962" ht="15.75" customHeight="1">
      <c r="AN962" s="21" t="n"/>
    </row>
    <row r="963" ht="15.75" customHeight="1">
      <c r="AN963" s="21" t="n"/>
    </row>
    <row r="964" ht="15.75" customHeight="1">
      <c r="AN964" s="21" t="n"/>
    </row>
    <row r="965" ht="15.75" customHeight="1">
      <c r="AN965" s="21" t="n"/>
    </row>
    <row r="966" ht="15.75" customHeight="1">
      <c r="AN966" s="21" t="n"/>
    </row>
    <row r="967" ht="15.75" customHeight="1">
      <c r="AN967" s="21" t="n"/>
    </row>
    <row r="968" ht="15.75" customHeight="1">
      <c r="AN968" s="21" t="n"/>
    </row>
    <row r="969" ht="15.75" customHeight="1">
      <c r="AN969" s="21" t="n"/>
    </row>
    <row r="970" ht="15.75" customHeight="1">
      <c r="AN970" s="21" t="n"/>
    </row>
    <row r="971" ht="15.75" customHeight="1">
      <c r="AN971" s="21" t="n"/>
    </row>
    <row r="972" ht="15.75" customHeight="1">
      <c r="AN972" s="21" t="n"/>
    </row>
    <row r="973" ht="15.75" customHeight="1">
      <c r="AN973" s="21" t="n"/>
    </row>
    <row r="974" ht="15.75" customHeight="1">
      <c r="AN974" s="21" t="n"/>
    </row>
    <row r="975" ht="15.75" customHeight="1">
      <c r="AN975" s="21" t="n"/>
    </row>
    <row r="976" ht="15.75" customHeight="1">
      <c r="AN976" s="21" t="n"/>
    </row>
    <row r="977" ht="15.75" customHeight="1">
      <c r="AN977" s="21" t="n"/>
    </row>
    <row r="978" ht="15.75" customHeight="1">
      <c r="AN978" s="21" t="n"/>
    </row>
    <row r="979" ht="15.75" customHeight="1">
      <c r="AN979" s="21" t="n"/>
    </row>
    <row r="980" ht="15.75" customHeight="1">
      <c r="AN980" s="21" t="n"/>
    </row>
    <row r="981" ht="15.75" customHeight="1">
      <c r="AN981" s="21" t="n"/>
    </row>
    <row r="982" ht="15.75" customHeight="1">
      <c r="AN982" s="21" t="n"/>
    </row>
    <row r="983" ht="15.75" customHeight="1">
      <c r="AN983" s="21" t="n"/>
    </row>
    <row r="984" ht="15.75" customHeight="1">
      <c r="AN984" s="21" t="n"/>
    </row>
    <row r="985" ht="15.75" customHeight="1">
      <c r="AN985" s="21" t="n"/>
    </row>
    <row r="986" ht="15.75" customHeight="1">
      <c r="AN986" s="21" t="n"/>
    </row>
    <row r="987" ht="15.75" customHeight="1">
      <c r="AN987" s="21" t="n"/>
    </row>
    <row r="988" ht="15.75" customHeight="1">
      <c r="AN988" s="21" t="n"/>
    </row>
    <row r="989" ht="15.75" customHeight="1">
      <c r="AN989" s="21" t="n"/>
    </row>
    <row r="990" ht="15.75" customHeight="1">
      <c r="AN990" s="21" t="n"/>
    </row>
    <row r="991" ht="15.75" customHeight="1">
      <c r="AN991" s="21" t="n"/>
    </row>
    <row r="992" ht="15.75" customHeight="1">
      <c r="AN992" s="21" t="n"/>
    </row>
    <row r="993" ht="15.75" customHeight="1">
      <c r="AN993" s="21" t="n"/>
    </row>
    <row r="994" ht="15.75" customHeight="1">
      <c r="AN994" s="21" t="n"/>
    </row>
    <row r="995" ht="15.75" customHeight="1">
      <c r="AN995" s="21" t="n"/>
    </row>
    <row r="996" ht="15.75" customHeight="1">
      <c r="AN996" s="21" t="n"/>
    </row>
    <row r="997" ht="15.75" customHeight="1">
      <c r="AN997" s="21" t="n"/>
    </row>
    <row r="998" ht="15.75" customHeight="1">
      <c r="AN998" s="21" t="n"/>
    </row>
    <row r="999" ht="15.75" customHeight="1">
      <c r="AN999" s="21" t="n"/>
    </row>
    <row r="1000" ht="14.4" customHeight="1">
      <c r="AN1000" s="21" t="n"/>
    </row>
    <row r="1001" ht="14.4" customHeight="1">
      <c r="AN1001" s="21" t="n"/>
    </row>
    <row r="1002" ht="14.4" customHeight="1">
      <c r="AN1002" s="21" t="n"/>
    </row>
    <row r="1003" ht="14.4" customHeight="1">
      <c r="AN1003" s="21" t="n"/>
    </row>
    <row r="1004" ht="14.4" customHeight="1">
      <c r="AN1004" s="21" t="n"/>
    </row>
    <row r="1005">
      <c r="AN1005" s="21" t="n"/>
    </row>
    <row r="1006">
      <c r="AN1006" s="21" t="n"/>
    </row>
    <row r="1007">
      <c r="AN1007" s="21" t="n"/>
    </row>
    <row r="1008">
      <c r="AN1008" s="21" t="n"/>
    </row>
    <row r="1009">
      <c r="AN1009" s="21" t="n"/>
    </row>
    <row r="1010">
      <c r="AN1010" s="21" t="n"/>
    </row>
    <row r="1011">
      <c r="AN1011" s="21" t="n"/>
    </row>
    <row r="1012">
      <c r="AN1012" s="21" t="n"/>
    </row>
    <row r="1013">
      <c r="AN1013" s="21" t="n"/>
    </row>
    <row r="1014">
      <c r="AN1014" s="21" t="n"/>
    </row>
    <row r="1015">
      <c r="AN1015" s="21" t="n"/>
    </row>
    <row r="1016">
      <c r="AN1016" s="21" t="n"/>
    </row>
    <row r="1017">
      <c r="AN1017" s="21" t="n"/>
    </row>
  </sheetData>
  <autoFilter ref="A6:F6"/>
  <mergeCells count="3">
    <mergeCell ref="AL5:AL6"/>
    <mergeCell ref="AN5:AN6"/>
    <mergeCell ref="AM5:AM6"/>
  </mergeCells>
  <pageMargins left="0.7" right="0.7" top="0.75" bottom="0.75" header="0" footer="0"/>
  <pageSetup orientation="portrait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2026-07-21T17:16:58Z</dcterms:created>
  <dcterms:modified xsi:type="dcterms:W3CDTF">2026-08-29T13:18:10Z</dcterms:modified>
  <cp:lastModifiedBy>Walter Cutiño Ledo</cp:lastModifiedBy>
</cp:coreProperties>
</file>