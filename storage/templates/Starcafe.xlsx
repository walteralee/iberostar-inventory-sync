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plantillas\"/>
    </mc:Choice>
  </mc:AlternateContent>
  <xr:revisionPtr revIDLastSave="0" documentId="13_ncr:1_{C4D928F8-A8F2-41FB-9E7F-BB86311538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2" l="1"/>
  <c r="AL36" i="2" l="1"/>
  <c r="AM36" i="2" s="1"/>
  <c r="AN36" i="2" s="1"/>
  <c r="F36" i="2"/>
  <c r="AL35" i="2"/>
  <c r="AM35" i="2" s="1"/>
  <c r="AN35" i="2" s="1"/>
  <c r="F35" i="2"/>
  <c r="AM34" i="2"/>
  <c r="AN34" i="2" s="1"/>
  <c r="AL34" i="2"/>
  <c r="F34" i="2"/>
  <c r="AL33" i="2"/>
  <c r="AM33" i="2" s="1"/>
  <c r="AN33" i="2" s="1"/>
  <c r="F33" i="2"/>
  <c r="AL32" i="2"/>
  <c r="AM32" i="2" s="1"/>
  <c r="AN32" i="2" s="1"/>
  <c r="F32" i="2"/>
  <c r="AM31" i="2"/>
  <c r="AN31" i="2" s="1"/>
  <c r="AL31" i="2"/>
  <c r="F31" i="2"/>
  <c r="AL30" i="2"/>
  <c r="AM30" i="2" s="1"/>
  <c r="AN30" i="2" s="1"/>
  <c r="F30" i="2"/>
  <c r="AL29" i="2"/>
  <c r="AM29" i="2" s="1"/>
  <c r="AN29" i="2" s="1"/>
  <c r="F29" i="2"/>
  <c r="AM28" i="2"/>
  <c r="AN28" i="2" s="1"/>
  <c r="AL28" i="2"/>
  <c r="F28" i="2"/>
  <c r="AL27" i="2"/>
  <c r="AM27" i="2" s="1"/>
  <c r="AN27" i="2" s="1"/>
  <c r="F27" i="2"/>
  <c r="AL26" i="2"/>
  <c r="AM26" i="2" s="1"/>
  <c r="AN26" i="2" s="1"/>
  <c r="F26" i="2"/>
  <c r="AM25" i="2"/>
  <c r="AN25" i="2" s="1"/>
  <c r="AL25" i="2"/>
  <c r="F25" i="2"/>
  <c r="AL24" i="2"/>
  <c r="AM24" i="2" s="1"/>
  <c r="AN24" i="2" s="1"/>
  <c r="F24" i="2"/>
  <c r="AL23" i="2"/>
  <c r="AM23" i="2" s="1"/>
  <c r="AN23" i="2" s="1"/>
  <c r="F23" i="2"/>
  <c r="AM22" i="2"/>
  <c r="AN22" i="2" s="1"/>
  <c r="AL22" i="2"/>
  <c r="F22" i="2"/>
  <c r="AL21" i="2"/>
  <c r="AM21" i="2" s="1"/>
  <c r="AN21" i="2" s="1"/>
  <c r="F21" i="2"/>
  <c r="AL20" i="2"/>
  <c r="AM20" i="2" s="1"/>
  <c r="AN20" i="2" s="1"/>
  <c r="F20" i="2"/>
  <c r="AM19" i="2"/>
  <c r="AN19" i="2" s="1"/>
  <c r="AL19" i="2"/>
  <c r="F19" i="2"/>
  <c r="AL18" i="2"/>
  <c r="AM18" i="2" s="1"/>
  <c r="AN18" i="2" s="1"/>
  <c r="F18" i="2"/>
  <c r="AL17" i="2"/>
  <c r="AM17" i="2" s="1"/>
  <c r="AN17" i="2" s="1"/>
  <c r="F17" i="2"/>
  <c r="AM16" i="2"/>
  <c r="AN16" i="2" s="1"/>
  <c r="AL16" i="2"/>
  <c r="F16" i="2"/>
  <c r="AL15" i="2"/>
  <c r="AM15" i="2" s="1"/>
  <c r="AN15" i="2" s="1"/>
  <c r="F15" i="2"/>
  <c r="AL14" i="2"/>
  <c r="AM14" i="2" s="1"/>
  <c r="AN14" i="2" s="1"/>
  <c r="F14" i="2"/>
  <c r="AM13" i="2"/>
  <c r="AN13" i="2" s="1"/>
  <c r="AL13" i="2"/>
  <c r="F13" i="2"/>
  <c r="AL12" i="2"/>
  <c r="AM12" i="2" s="1"/>
  <c r="AN12" i="2" s="1"/>
  <c r="F12" i="2"/>
  <c r="AL11" i="2"/>
  <c r="AM11" i="2" s="1"/>
  <c r="AN11" i="2" s="1"/>
  <c r="F11" i="2"/>
  <c r="AM10" i="2"/>
  <c r="AN10" i="2" s="1"/>
  <c r="AL10" i="2"/>
  <c r="F10" i="2"/>
  <c r="AL9" i="2"/>
  <c r="AM9" i="2" s="1"/>
  <c r="AN9" i="2" s="1"/>
  <c r="F9" i="2"/>
  <c r="AL8" i="2"/>
  <c r="AM8" i="2" s="1"/>
  <c r="AN8" i="2" s="1"/>
  <c r="F8" i="2"/>
  <c r="AM7" i="2"/>
  <c r="AN7" i="2" s="1"/>
  <c r="AL7" i="2"/>
  <c r="F7" i="2"/>
  <c r="F37" i="2" l="1"/>
  <c r="AN37" i="2"/>
</calcChain>
</file>

<file path=xl/sharedStrings.xml><?xml version="1.0" encoding="utf-8"?>
<sst xmlns="http://schemas.openxmlformats.org/spreadsheetml/2006/main" count="102" uniqueCount="55">
  <si>
    <t>STAR   CAFE</t>
  </si>
  <si>
    <t>Cód.Art.</t>
  </si>
  <si>
    <t>Artículo</t>
  </si>
  <si>
    <t>Cnt.Stk.</t>
  </si>
  <si>
    <t>Frm.Stk.</t>
  </si>
  <si>
    <t>Prc.Med.EUR</t>
  </si>
  <si>
    <t>Total EUR</t>
  </si>
  <si>
    <t>AZUCAR TERRON BLANCO 4 GR</t>
  </si>
  <si>
    <t>UNIDAD</t>
  </si>
  <si>
    <t>AZUCAR TERRON MORENO 4 GR</t>
  </si>
  <si>
    <t>SIROPE CHOCOLATE</t>
  </si>
  <si>
    <t>BOTE</t>
  </si>
  <si>
    <t>SIROPE CHOCOLATE BLANCO 1200 GR</t>
  </si>
  <si>
    <t>BOTELLA</t>
  </si>
  <si>
    <t>SIROPE FRESA</t>
  </si>
  <si>
    <t>BEBIDA SOJA ORIGINAL 100 CL</t>
  </si>
  <si>
    <t>BRIK</t>
  </si>
  <si>
    <t>SUPLEMENTO PROTEINA CHOCOLATE</t>
  </si>
  <si>
    <t>KILO</t>
  </si>
  <si>
    <t>SUPLEMENTO PROTEINA FRESA</t>
  </si>
  <si>
    <t>SUPLEMENTO PROTEINA VAINILLA</t>
  </si>
  <si>
    <t>BIB LECHE SEMIDESNATADA 10 LT</t>
  </si>
  <si>
    <t>LITRO</t>
  </si>
  <si>
    <t>LECHE ALMENDRA 1 LT</t>
  </si>
  <si>
    <t>LECHE AVENA 1 LT</t>
  </si>
  <si>
    <t>LECHE SEMIDESNATADA 1 LT</t>
  </si>
  <si>
    <t>LECHE SEMIDESNATADA SIN LACTOSA BRIK 1 LT</t>
  </si>
  <si>
    <t>CAFE GRANO BLEND PROFONDO/ELEGANTE 1 KG</t>
  </si>
  <si>
    <t>CAFE GRANO DESCAFEINADO 500 GR</t>
  </si>
  <si>
    <t>PAQUETE</t>
  </si>
  <si>
    <t>TE MATCHA POLVO 500 GR</t>
  </si>
  <si>
    <t>TE/INFUSION BOLSITA IND PAPEL ENGLISH BREAKFAST 1.5 GR 30 UD</t>
  </si>
  <si>
    <t>TE/INFUSION BOLSITA IND PAPEL MENTA 1.5 GR 30 UD</t>
  </si>
  <si>
    <t>TE/INFUSION BOLSITA IND PAPEL ROJO 1.5 GR 30 UD</t>
  </si>
  <si>
    <t>JARABE AVELLANA S/ALCOHOL 70 CL</t>
  </si>
  <si>
    <t>JARABE CARAMELO S/AZUCAR 70 CL</t>
  </si>
  <si>
    <t>JARABE CONCENTRADO CLOUDY LEMONADE 70 CL</t>
  </si>
  <si>
    <t>JARABE CONCENTRADO TE DE LIMON MONIN  70 CL</t>
  </si>
  <si>
    <t>JARABE JENGIBRE CONCENTRADO S/ALCOHOL 70 CL</t>
  </si>
  <si>
    <t>JARABE TE CHAI S/ALCOHOL 70 CL</t>
  </si>
  <si>
    <t>JARABE VAINILLA S/ALCOHOL 100 CL</t>
  </si>
  <si>
    <t>PURE FRUTA FRUTOS ROJOS 100 CL</t>
  </si>
  <si>
    <t>PURE FRUTA MARACUYA 100 CL</t>
  </si>
  <si>
    <t>PURE FRUTA YUZU 100 CL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</si>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</sst>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6"/>
      <color theme="1"/>
      <name val="Calibri"/>
      <scheme val="minor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name val="Calibri"/>
    </font>
    <font>
      <b/>
      <sz val="11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4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4" fontId="4" fillId="4" borderId="4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4" fontId="1" fillId="8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2" fontId="13" fillId="7" borderId="7" xfId="0" applyNumberFormat="1" applyFont="1" applyFill="1" applyBorder="1" applyAlignment="1">
      <alignment horizontal="center" vertical="center"/>
    </xf>
    <xf numFmtId="2" fontId="13" fillId="7" borderId="1" xfId="0" applyNumberFormat="1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2" fontId="9" fillId="5" borderId="8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23CC87B-C874-40A4-B0C7-3169A933F508}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4" name="image1.png">
          <a:extLst>
            <a:ext uri="{FF2B5EF4-FFF2-40B4-BE49-F238E27FC236}">
              <a16:creationId xmlns:a16="http://schemas.microsoft.com/office/drawing/2014/main" id="{B3362C0D-917B-43CF-B752-9C6CEE96C1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abSelected="1" topLeftCell="A38" zoomScale="70" zoomScaleNormal="70" workbookViewId="0">
      <selection activeCell="O33" sqref="O33"/>
    </sheetView>
  </sheetViews>
  <sheetFormatPr baseColWidth="10" defaultColWidth="14.44140625" defaultRowHeight="1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16384" width="14.44140625" style="1"/>
  </cols>
  <sheetData>
    <row r="1" spans="1:40" ht="25.05" customHeight="1" x14ac:dyDescent="0.3">
      <c r="E1" s="2"/>
      <c r="F1" s="2"/>
    </row>
    <row r="2" spans="1:40" ht="25.05" customHeight="1" x14ac:dyDescent="0.3">
      <c r="E2" s="2"/>
      <c r="F2" s="2"/>
    </row>
    <row r="3" spans="1:40" ht="25.05" customHeight="1" x14ac:dyDescent="0.3">
      <c r="E3" s="2"/>
      <c r="F3" s="2"/>
    </row>
    <row r="4" spans="1:40" ht="25.05" customHeight="1" x14ac:dyDescent="0.3">
      <c r="B4" s="15" t="s">
        <v>0</v>
      </c>
      <c r="E4" s="8"/>
      <c r="F4" s="8"/>
      <c r="H4" s="20"/>
    </row>
    <row r="5" spans="1:40" ht="25.05" customHeight="1" x14ac:dyDescent="0.3">
      <c r="E5" s="8"/>
      <c r="F5" s="8"/>
      <c r="G5" s="16" t="s">
        <v>45</v>
      </c>
      <c r="H5" s="16" t="s">
        <v>46</v>
      </c>
      <c r="I5" s="16" t="s">
        <v>47</v>
      </c>
      <c r="J5" s="17" t="s">
        <v>48</v>
      </c>
      <c r="K5" s="17" t="s">
        <v>49</v>
      </c>
      <c r="L5" s="18" t="s">
        <v>50</v>
      </c>
      <c r="M5" s="16" t="s">
        <v>51</v>
      </c>
      <c r="N5" s="16" t="s">
        <v>45</v>
      </c>
      <c r="O5" s="16" t="s">
        <v>46</v>
      </c>
      <c r="P5" s="16" t="s">
        <v>47</v>
      </c>
      <c r="Q5" s="17" t="s">
        <v>48</v>
      </c>
      <c r="R5" s="17" t="s">
        <v>49</v>
      </c>
      <c r="S5" s="18" t="s">
        <v>50</v>
      </c>
      <c r="T5" s="16" t="s">
        <v>51</v>
      </c>
      <c r="U5" s="16" t="s">
        <v>45</v>
      </c>
      <c r="V5" s="16" t="s">
        <v>46</v>
      </c>
      <c r="W5" s="16" t="s">
        <v>47</v>
      </c>
      <c r="X5" s="17" t="s">
        <v>48</v>
      </c>
      <c r="Y5" s="17" t="s">
        <v>49</v>
      </c>
      <c r="Z5" s="18" t="s">
        <v>50</v>
      </c>
      <c r="AA5" s="16" t="s">
        <v>51</v>
      </c>
      <c r="AB5" s="16" t="s">
        <v>45</v>
      </c>
      <c r="AC5" s="16" t="s">
        <v>46</v>
      </c>
      <c r="AD5" s="16" t="s">
        <v>47</v>
      </c>
      <c r="AE5" s="17" t="s">
        <v>48</v>
      </c>
      <c r="AF5" s="17" t="s">
        <v>49</v>
      </c>
      <c r="AG5" s="18" t="s">
        <v>50</v>
      </c>
      <c r="AH5" s="16" t="s">
        <v>51</v>
      </c>
      <c r="AI5" s="16" t="s">
        <v>45</v>
      </c>
      <c r="AJ5" s="16" t="s">
        <v>46</v>
      </c>
      <c r="AK5" s="19" t="s">
        <v>47</v>
      </c>
      <c r="AL5" s="27" t="s">
        <v>52</v>
      </c>
      <c r="AM5" s="28" t="s">
        <v>53</v>
      </c>
      <c r="AN5" s="30" t="s">
        <v>54</v>
      </c>
    </row>
    <row r="6" spans="1:40" ht="25.05" customHeight="1" x14ac:dyDescent="0.3">
      <c r="A6" s="3" t="s">
        <v>1</v>
      </c>
      <c r="B6" s="3" t="s">
        <v>2</v>
      </c>
      <c r="C6" s="4" t="s">
        <v>3</v>
      </c>
      <c r="D6" s="5" t="s">
        <v>4</v>
      </c>
      <c r="E6" s="6" t="s">
        <v>5</v>
      </c>
      <c r="F6" s="6" t="s">
        <v>6</v>
      </c>
      <c r="G6" s="16">
        <v>1</v>
      </c>
      <c r="H6" s="16">
        <v>2</v>
      </c>
      <c r="I6" s="16">
        <v>3</v>
      </c>
      <c r="J6" s="17">
        <v>4</v>
      </c>
      <c r="K6" s="17">
        <v>5</v>
      </c>
      <c r="L6" s="16">
        <v>6</v>
      </c>
      <c r="M6" s="16">
        <v>7</v>
      </c>
      <c r="N6" s="16">
        <v>8</v>
      </c>
      <c r="O6" s="16">
        <v>9</v>
      </c>
      <c r="P6" s="16">
        <v>10</v>
      </c>
      <c r="Q6" s="17">
        <v>11</v>
      </c>
      <c r="R6" s="17">
        <v>12</v>
      </c>
      <c r="S6" s="16">
        <v>13</v>
      </c>
      <c r="T6" s="16">
        <v>14</v>
      </c>
      <c r="U6" s="16">
        <v>15</v>
      </c>
      <c r="V6" s="16">
        <v>16</v>
      </c>
      <c r="W6" s="16">
        <v>17</v>
      </c>
      <c r="X6" s="17">
        <v>18</v>
      </c>
      <c r="Y6" s="17">
        <v>19</v>
      </c>
      <c r="Z6" s="16">
        <v>20</v>
      </c>
      <c r="AA6" s="16">
        <v>21</v>
      </c>
      <c r="AB6" s="16">
        <v>22</v>
      </c>
      <c r="AC6" s="16">
        <v>23</v>
      </c>
      <c r="AD6" s="16">
        <v>24</v>
      </c>
      <c r="AE6" s="17">
        <v>25</v>
      </c>
      <c r="AF6" s="17">
        <v>26</v>
      </c>
      <c r="AG6" s="16">
        <v>27</v>
      </c>
      <c r="AH6" s="16">
        <v>28</v>
      </c>
      <c r="AI6" s="16">
        <v>29</v>
      </c>
      <c r="AJ6" s="16">
        <v>30</v>
      </c>
      <c r="AK6" s="19">
        <v>31</v>
      </c>
      <c r="AL6" s="27"/>
      <c r="AM6" s="29"/>
      <c r="AN6" s="30"/>
    </row>
    <row r="7" spans="1:40" ht="25.05" customHeight="1" x14ac:dyDescent="0.3">
      <c r="A7" s="7">
        <v>30756</v>
      </c>
      <c r="B7" s="7" t="s">
        <v>7</v>
      </c>
      <c r="C7" s="9">
        <v>0</v>
      </c>
      <c r="D7" s="10" t="s">
        <v>8</v>
      </c>
      <c r="E7" s="8">
        <v>1.0370000000000001E-2</v>
      </c>
      <c r="F7" s="14">
        <f t="shared" ref="F7:F36" si="0">C7*E7</f>
        <v>0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2">
        <f t="shared" ref="AL7:AL36" si="1">SUM(G7:AK7)</f>
        <v>0</v>
      </c>
      <c r="AM7" s="23">
        <f t="shared" ref="AM7:AM36" si="2">SUM(C7,AL7)</f>
        <v>0</v>
      </c>
      <c r="AN7" s="24">
        <f t="shared" ref="AN7:AN36" si="3">E7*AM7</f>
        <v>0</v>
      </c>
    </row>
    <row r="8" spans="1:40" ht="25.05" customHeight="1" x14ac:dyDescent="0.3">
      <c r="A8" s="7">
        <v>14279</v>
      </c>
      <c r="B8" s="7" t="s">
        <v>9</v>
      </c>
      <c r="C8" s="9">
        <v>0</v>
      </c>
      <c r="D8" s="10" t="s">
        <v>8</v>
      </c>
      <c r="E8" s="8">
        <v>1.15E-2</v>
      </c>
      <c r="F8" s="14">
        <f t="shared" si="0"/>
        <v>0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2">
        <f t="shared" si="1"/>
        <v>0</v>
      </c>
      <c r="AM8" s="23">
        <f t="shared" si="2"/>
        <v>0</v>
      </c>
      <c r="AN8" s="25">
        <f t="shared" si="3"/>
        <v>0</v>
      </c>
    </row>
    <row r="9" spans="1:40" ht="25.05" customHeight="1" x14ac:dyDescent="0.3">
      <c r="A9" s="7">
        <v>582</v>
      </c>
      <c r="B9" s="7" t="s">
        <v>10</v>
      </c>
      <c r="C9" s="9">
        <v>0</v>
      </c>
      <c r="D9" s="10" t="s">
        <v>11</v>
      </c>
      <c r="E9" s="8">
        <v>3.6656629999999999</v>
      </c>
      <c r="F9" s="14">
        <f t="shared" si="0"/>
        <v>0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2">
        <f t="shared" si="1"/>
        <v>0</v>
      </c>
      <c r="AM9" s="23">
        <f t="shared" si="2"/>
        <v>0</v>
      </c>
      <c r="AN9" s="25">
        <f t="shared" si="3"/>
        <v>0</v>
      </c>
    </row>
    <row r="10" spans="1:40" ht="25.05" customHeight="1" x14ac:dyDescent="0.3">
      <c r="A10" s="7">
        <v>29084</v>
      </c>
      <c r="B10" s="7" t="s">
        <v>12</v>
      </c>
      <c r="C10" s="9">
        <v>0</v>
      </c>
      <c r="D10" s="10" t="s">
        <v>13</v>
      </c>
      <c r="E10" s="8">
        <v>4.38</v>
      </c>
      <c r="F10" s="14">
        <f t="shared" si="0"/>
        <v>0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2">
        <f t="shared" si="1"/>
        <v>0</v>
      </c>
      <c r="AM10" s="23">
        <f t="shared" si="2"/>
        <v>0</v>
      </c>
      <c r="AN10" s="25">
        <f t="shared" si="3"/>
        <v>0</v>
      </c>
    </row>
    <row r="11" spans="1:40" ht="25.05" customHeight="1" x14ac:dyDescent="0.3">
      <c r="A11" s="7">
        <v>583</v>
      </c>
      <c r="B11" s="7" t="s">
        <v>14</v>
      </c>
      <c r="C11" s="9">
        <v>0</v>
      </c>
      <c r="D11" s="10" t="s">
        <v>11</v>
      </c>
      <c r="E11" s="8">
        <v>3.26</v>
      </c>
      <c r="F11" s="14">
        <f t="shared" si="0"/>
        <v>0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2">
        <f t="shared" si="1"/>
        <v>0</v>
      </c>
      <c r="AM11" s="23">
        <f t="shared" si="2"/>
        <v>0</v>
      </c>
      <c r="AN11" s="25">
        <f t="shared" si="3"/>
        <v>0</v>
      </c>
    </row>
    <row r="12" spans="1:40" ht="25.05" customHeight="1" x14ac:dyDescent="0.3">
      <c r="A12" s="7">
        <v>4835</v>
      </c>
      <c r="B12" s="7" t="s">
        <v>15</v>
      </c>
      <c r="C12" s="9">
        <v>0</v>
      </c>
      <c r="D12" s="10" t="s">
        <v>16</v>
      </c>
      <c r="E12" s="8">
        <v>1.0064930000000001</v>
      </c>
      <c r="F12" s="14">
        <f t="shared" si="0"/>
        <v>0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2">
        <f t="shared" si="1"/>
        <v>0</v>
      </c>
      <c r="AM12" s="23">
        <f t="shared" si="2"/>
        <v>0</v>
      </c>
      <c r="AN12" s="25">
        <f t="shared" si="3"/>
        <v>0</v>
      </c>
    </row>
    <row r="13" spans="1:40" ht="25.05" customHeight="1" x14ac:dyDescent="0.3">
      <c r="A13" s="7">
        <v>27593</v>
      </c>
      <c r="B13" s="7" t="s">
        <v>17</v>
      </c>
      <c r="C13" s="9">
        <v>0</v>
      </c>
      <c r="D13" s="10" t="s">
        <v>18</v>
      </c>
      <c r="E13" s="8">
        <v>34.4</v>
      </c>
      <c r="F13" s="14">
        <f t="shared" si="0"/>
        <v>0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2">
        <f t="shared" si="1"/>
        <v>0</v>
      </c>
      <c r="AM13" s="23">
        <f t="shared" si="2"/>
        <v>0</v>
      </c>
      <c r="AN13" s="25">
        <f t="shared" si="3"/>
        <v>0</v>
      </c>
    </row>
    <row r="14" spans="1:40" ht="25.05" customHeight="1" x14ac:dyDescent="0.3">
      <c r="A14" s="7">
        <v>27594</v>
      </c>
      <c r="B14" s="7" t="s">
        <v>19</v>
      </c>
      <c r="C14" s="9">
        <v>0</v>
      </c>
      <c r="D14" s="10" t="s">
        <v>18</v>
      </c>
      <c r="E14" s="8">
        <v>34.4</v>
      </c>
      <c r="F14" s="14">
        <f t="shared" si="0"/>
        <v>0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2">
        <f t="shared" si="1"/>
        <v>0</v>
      </c>
      <c r="AM14" s="23">
        <f t="shared" si="2"/>
        <v>0</v>
      </c>
      <c r="AN14" s="25">
        <f t="shared" si="3"/>
        <v>0</v>
      </c>
    </row>
    <row r="15" spans="1:40" ht="25.05" customHeight="1" x14ac:dyDescent="0.3">
      <c r="A15" s="7">
        <v>981168</v>
      </c>
      <c r="B15" s="7" t="s">
        <v>20</v>
      </c>
      <c r="C15" s="9">
        <v>0</v>
      </c>
      <c r="D15" s="10" t="s">
        <v>18</v>
      </c>
      <c r="E15" s="8">
        <v>34.4</v>
      </c>
      <c r="F15" s="14">
        <f t="shared" si="0"/>
        <v>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2">
        <f t="shared" si="1"/>
        <v>0</v>
      </c>
      <c r="AM15" s="23">
        <f t="shared" si="2"/>
        <v>0</v>
      </c>
      <c r="AN15" s="25">
        <f t="shared" si="3"/>
        <v>0</v>
      </c>
    </row>
    <row r="16" spans="1:40" ht="25.05" customHeight="1" x14ac:dyDescent="0.3">
      <c r="A16" s="7">
        <v>24683</v>
      </c>
      <c r="B16" s="7" t="s">
        <v>21</v>
      </c>
      <c r="C16" s="9">
        <v>0</v>
      </c>
      <c r="D16" s="10" t="s">
        <v>22</v>
      </c>
      <c r="E16" s="8">
        <v>0.94</v>
      </c>
      <c r="F16" s="14">
        <f t="shared" si="0"/>
        <v>0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2">
        <f t="shared" si="1"/>
        <v>0</v>
      </c>
      <c r="AM16" s="23">
        <f t="shared" si="2"/>
        <v>0</v>
      </c>
      <c r="AN16" s="25">
        <f t="shared" si="3"/>
        <v>0</v>
      </c>
    </row>
    <row r="17" spans="1:40" ht="25.05" customHeight="1" x14ac:dyDescent="0.3">
      <c r="A17" s="7">
        <v>17277</v>
      </c>
      <c r="B17" s="7" t="s">
        <v>23</v>
      </c>
      <c r="C17" s="9">
        <v>0</v>
      </c>
      <c r="D17" s="10" t="s">
        <v>16</v>
      </c>
      <c r="E17" s="8">
        <v>1.209042</v>
      </c>
      <c r="F17" s="14">
        <f t="shared" si="0"/>
        <v>0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2">
        <f t="shared" si="1"/>
        <v>0</v>
      </c>
      <c r="AM17" s="23">
        <f t="shared" si="2"/>
        <v>0</v>
      </c>
      <c r="AN17" s="25">
        <f t="shared" si="3"/>
        <v>0</v>
      </c>
    </row>
    <row r="18" spans="1:40" ht="25.05" customHeight="1" x14ac:dyDescent="0.3">
      <c r="A18" s="7">
        <v>10043</v>
      </c>
      <c r="B18" s="7" t="s">
        <v>24</v>
      </c>
      <c r="C18" s="9">
        <v>0</v>
      </c>
      <c r="D18" s="10" t="s">
        <v>16</v>
      </c>
      <c r="E18" s="8">
        <v>1.162183</v>
      </c>
      <c r="F18" s="14">
        <f t="shared" si="0"/>
        <v>0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2">
        <f t="shared" si="1"/>
        <v>0</v>
      </c>
      <c r="AM18" s="23">
        <f t="shared" si="2"/>
        <v>0</v>
      </c>
      <c r="AN18" s="25">
        <f t="shared" si="3"/>
        <v>0</v>
      </c>
    </row>
    <row r="19" spans="1:40" ht="25.05" customHeight="1" x14ac:dyDescent="0.3">
      <c r="A19" s="7">
        <v>5919</v>
      </c>
      <c r="B19" s="7" t="s">
        <v>25</v>
      </c>
      <c r="C19" s="9">
        <v>0</v>
      </c>
      <c r="D19" s="10" t="s">
        <v>16</v>
      </c>
      <c r="E19" s="8">
        <v>0.94</v>
      </c>
      <c r="F19" s="14">
        <f t="shared" si="0"/>
        <v>0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2">
        <f t="shared" si="1"/>
        <v>0</v>
      </c>
      <c r="AM19" s="23">
        <f t="shared" si="2"/>
        <v>0</v>
      </c>
      <c r="AN19" s="25">
        <f t="shared" si="3"/>
        <v>0</v>
      </c>
    </row>
    <row r="20" spans="1:40" ht="25.05" customHeight="1" x14ac:dyDescent="0.3">
      <c r="A20" s="7">
        <v>11082</v>
      </c>
      <c r="B20" s="7" t="s">
        <v>26</v>
      </c>
      <c r="C20" s="9">
        <v>0</v>
      </c>
      <c r="D20" s="10" t="s">
        <v>16</v>
      </c>
      <c r="E20" s="8">
        <v>1.146622</v>
      </c>
      <c r="F20" s="14">
        <f t="shared" si="0"/>
        <v>0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2">
        <f t="shared" si="1"/>
        <v>0</v>
      </c>
      <c r="AM20" s="23">
        <f t="shared" si="2"/>
        <v>0</v>
      </c>
      <c r="AN20" s="25">
        <f t="shared" si="3"/>
        <v>0</v>
      </c>
    </row>
    <row r="21" spans="1:40" ht="25.05" customHeight="1" x14ac:dyDescent="0.3">
      <c r="A21" s="7">
        <v>503</v>
      </c>
      <c r="B21" s="7" t="s">
        <v>27</v>
      </c>
      <c r="C21" s="9">
        <v>0</v>
      </c>
      <c r="D21" s="10" t="s">
        <v>18</v>
      </c>
      <c r="E21" s="8">
        <v>12.67</v>
      </c>
      <c r="F21" s="14">
        <f t="shared" si="0"/>
        <v>0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2">
        <f t="shared" si="1"/>
        <v>0</v>
      </c>
      <c r="AM21" s="23">
        <f t="shared" si="2"/>
        <v>0</v>
      </c>
      <c r="AN21" s="25">
        <f t="shared" si="3"/>
        <v>0</v>
      </c>
    </row>
    <row r="22" spans="1:40" ht="25.05" customHeight="1" x14ac:dyDescent="0.3">
      <c r="A22" s="7">
        <v>4135</v>
      </c>
      <c r="B22" s="7" t="s">
        <v>28</v>
      </c>
      <c r="C22" s="9">
        <v>0</v>
      </c>
      <c r="D22" s="10" t="s">
        <v>29</v>
      </c>
      <c r="E22" s="8">
        <v>6.2098969999999998</v>
      </c>
      <c r="F22" s="14">
        <f t="shared" si="0"/>
        <v>0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2">
        <f t="shared" si="1"/>
        <v>0</v>
      </c>
      <c r="AM22" s="23">
        <f t="shared" si="2"/>
        <v>0</v>
      </c>
      <c r="AN22" s="25">
        <f t="shared" si="3"/>
        <v>0</v>
      </c>
    </row>
    <row r="23" spans="1:40" ht="25.05" customHeight="1" x14ac:dyDescent="0.3">
      <c r="A23" s="7">
        <v>986076</v>
      </c>
      <c r="B23" s="7" t="s">
        <v>30</v>
      </c>
      <c r="C23" s="9">
        <v>0</v>
      </c>
      <c r="D23" s="10" t="s">
        <v>8</v>
      </c>
      <c r="E23" s="8">
        <v>47.95</v>
      </c>
      <c r="F23" s="14">
        <f t="shared" si="0"/>
        <v>0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2">
        <f t="shared" si="1"/>
        <v>0</v>
      </c>
      <c r="AM23" s="23">
        <f t="shared" si="2"/>
        <v>0</v>
      </c>
      <c r="AN23" s="25">
        <f t="shared" si="3"/>
        <v>0</v>
      </c>
    </row>
    <row r="24" spans="1:40" ht="25.05" customHeight="1" x14ac:dyDescent="0.3">
      <c r="A24" s="7">
        <v>23775</v>
      </c>
      <c r="B24" s="7" t="s">
        <v>31</v>
      </c>
      <c r="C24" s="9">
        <v>0</v>
      </c>
      <c r="D24" s="10" t="s">
        <v>8</v>
      </c>
      <c r="E24" s="8">
        <v>7.4038000000000007E-2</v>
      </c>
      <c r="F24" s="14">
        <f t="shared" si="0"/>
        <v>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2">
        <f t="shared" si="1"/>
        <v>0</v>
      </c>
      <c r="AM24" s="23">
        <f t="shared" si="2"/>
        <v>0</v>
      </c>
      <c r="AN24" s="25">
        <f t="shared" si="3"/>
        <v>0</v>
      </c>
    </row>
    <row r="25" spans="1:40" ht="25.05" customHeight="1" x14ac:dyDescent="0.3">
      <c r="A25" s="7">
        <v>23773</v>
      </c>
      <c r="B25" s="7" t="s">
        <v>32</v>
      </c>
      <c r="C25" s="9">
        <v>0</v>
      </c>
      <c r="D25" s="10" t="s">
        <v>8</v>
      </c>
      <c r="E25" s="8">
        <v>7.1868000000000001E-2</v>
      </c>
      <c r="F25" s="14">
        <f t="shared" si="0"/>
        <v>0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2">
        <f t="shared" si="1"/>
        <v>0</v>
      </c>
      <c r="AM25" s="23">
        <f t="shared" si="2"/>
        <v>0</v>
      </c>
      <c r="AN25" s="25">
        <f t="shared" si="3"/>
        <v>0</v>
      </c>
    </row>
    <row r="26" spans="1:40" ht="25.05" customHeight="1" x14ac:dyDescent="0.3">
      <c r="A26" s="7">
        <v>23874</v>
      </c>
      <c r="B26" s="7" t="s">
        <v>33</v>
      </c>
      <c r="C26" s="9">
        <v>0</v>
      </c>
      <c r="D26" s="10" t="s">
        <v>8</v>
      </c>
      <c r="E26" s="8">
        <v>8.2503000000000007E-2</v>
      </c>
      <c r="F26" s="14">
        <f t="shared" si="0"/>
        <v>0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2">
        <f t="shared" si="1"/>
        <v>0</v>
      </c>
      <c r="AM26" s="23">
        <f t="shared" si="2"/>
        <v>0</v>
      </c>
      <c r="AN26" s="25">
        <f t="shared" si="3"/>
        <v>0</v>
      </c>
    </row>
    <row r="27" spans="1:40" ht="25.05" customHeight="1" x14ac:dyDescent="0.3">
      <c r="A27" s="7">
        <v>28431</v>
      </c>
      <c r="B27" s="7" t="s">
        <v>34</v>
      </c>
      <c r="C27" s="9">
        <v>0</v>
      </c>
      <c r="D27" s="10" t="s">
        <v>13</v>
      </c>
      <c r="E27" s="8">
        <v>10.1</v>
      </c>
      <c r="F27" s="14">
        <f t="shared" si="0"/>
        <v>0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2">
        <f t="shared" si="1"/>
        <v>0</v>
      </c>
      <c r="AM27" s="23">
        <f t="shared" si="2"/>
        <v>0</v>
      </c>
      <c r="AN27" s="25">
        <f t="shared" si="3"/>
        <v>0</v>
      </c>
    </row>
    <row r="28" spans="1:40" ht="25.05" customHeight="1" x14ac:dyDescent="0.3">
      <c r="A28" s="7">
        <v>28414</v>
      </c>
      <c r="B28" s="7" t="s">
        <v>35</v>
      </c>
      <c r="C28" s="9">
        <v>0</v>
      </c>
      <c r="D28" s="10" t="s">
        <v>13</v>
      </c>
      <c r="E28" s="8">
        <v>10.98</v>
      </c>
      <c r="F28" s="14">
        <f t="shared" si="0"/>
        <v>0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2">
        <f t="shared" si="1"/>
        <v>0</v>
      </c>
      <c r="AM28" s="23">
        <f t="shared" si="2"/>
        <v>0</v>
      </c>
      <c r="AN28" s="25">
        <f t="shared" si="3"/>
        <v>0</v>
      </c>
    </row>
    <row r="29" spans="1:40" ht="25.05" customHeight="1" x14ac:dyDescent="0.3">
      <c r="A29" s="7">
        <v>28371</v>
      </c>
      <c r="B29" s="7" t="s">
        <v>36</v>
      </c>
      <c r="C29" s="9">
        <v>0</v>
      </c>
      <c r="D29" s="10" t="s">
        <v>13</v>
      </c>
      <c r="E29" s="8">
        <v>10.88</v>
      </c>
      <c r="F29" s="14">
        <f t="shared" si="0"/>
        <v>0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2">
        <f t="shared" si="1"/>
        <v>0</v>
      </c>
      <c r="AM29" s="23">
        <f t="shared" si="2"/>
        <v>0</v>
      </c>
      <c r="AN29" s="25">
        <f t="shared" si="3"/>
        <v>0</v>
      </c>
    </row>
    <row r="30" spans="1:40" ht="25.05" customHeight="1" x14ac:dyDescent="0.3">
      <c r="A30" s="7">
        <v>28416</v>
      </c>
      <c r="B30" s="7" t="s">
        <v>37</v>
      </c>
      <c r="C30" s="9">
        <v>0</v>
      </c>
      <c r="D30" s="10" t="s">
        <v>13</v>
      </c>
      <c r="E30" s="8">
        <v>10.67</v>
      </c>
      <c r="F30" s="14">
        <f t="shared" si="0"/>
        <v>0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2">
        <f t="shared" si="1"/>
        <v>0</v>
      </c>
      <c r="AM30" s="23">
        <f t="shared" si="2"/>
        <v>0</v>
      </c>
      <c r="AN30" s="25">
        <f t="shared" si="3"/>
        <v>0</v>
      </c>
    </row>
    <row r="31" spans="1:40" ht="25.05" customHeight="1" x14ac:dyDescent="0.3">
      <c r="A31" s="7">
        <v>12196</v>
      </c>
      <c r="B31" s="7" t="s">
        <v>38</v>
      </c>
      <c r="C31" s="9">
        <v>0</v>
      </c>
      <c r="D31" s="10" t="s">
        <v>13</v>
      </c>
      <c r="E31" s="8">
        <v>10.34</v>
      </c>
      <c r="F31" s="14">
        <f t="shared" si="0"/>
        <v>0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2">
        <f t="shared" si="1"/>
        <v>0</v>
      </c>
      <c r="AM31" s="23">
        <f t="shared" si="2"/>
        <v>0</v>
      </c>
      <c r="AN31" s="25">
        <f t="shared" si="3"/>
        <v>0</v>
      </c>
    </row>
    <row r="32" spans="1:40" ht="25.05" customHeight="1" x14ac:dyDescent="0.3">
      <c r="A32" s="7">
        <v>28370</v>
      </c>
      <c r="B32" s="7" t="s">
        <v>39</v>
      </c>
      <c r="C32" s="9">
        <v>0</v>
      </c>
      <c r="D32" s="10" t="s">
        <v>13</v>
      </c>
      <c r="E32" s="8">
        <v>10.49</v>
      </c>
      <c r="F32" s="14">
        <f t="shared" si="0"/>
        <v>0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2">
        <f t="shared" si="1"/>
        <v>0</v>
      </c>
      <c r="AM32" s="23">
        <f t="shared" si="2"/>
        <v>0</v>
      </c>
      <c r="AN32" s="25">
        <f t="shared" si="3"/>
        <v>0</v>
      </c>
    </row>
    <row r="33" spans="1:40" ht="25.05" customHeight="1" x14ac:dyDescent="0.3">
      <c r="A33" s="7">
        <v>12438</v>
      </c>
      <c r="B33" s="7" t="s">
        <v>40</v>
      </c>
      <c r="C33" s="9">
        <v>0</v>
      </c>
      <c r="D33" s="10" t="s">
        <v>13</v>
      </c>
      <c r="E33" s="8">
        <v>11.09</v>
      </c>
      <c r="F33" s="14">
        <f t="shared" si="0"/>
        <v>0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2">
        <f t="shared" si="1"/>
        <v>0</v>
      </c>
      <c r="AM33" s="23">
        <f t="shared" si="2"/>
        <v>0</v>
      </c>
      <c r="AN33" s="25">
        <f t="shared" si="3"/>
        <v>0</v>
      </c>
    </row>
    <row r="34" spans="1:40" ht="25.05" customHeight="1" x14ac:dyDescent="0.3">
      <c r="A34" s="7">
        <v>962370</v>
      </c>
      <c r="B34" s="7" t="s">
        <v>41</v>
      </c>
      <c r="C34" s="9">
        <v>0</v>
      </c>
      <c r="D34" s="10" t="s">
        <v>13</v>
      </c>
      <c r="E34" s="8">
        <v>16.68</v>
      </c>
      <c r="F34" s="14">
        <f t="shared" si="0"/>
        <v>0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2">
        <f t="shared" si="1"/>
        <v>0</v>
      </c>
      <c r="AM34" s="23">
        <f t="shared" si="2"/>
        <v>0</v>
      </c>
      <c r="AN34" s="25">
        <f t="shared" si="3"/>
        <v>0</v>
      </c>
    </row>
    <row r="35" spans="1:40" ht="25.05" customHeight="1" x14ac:dyDescent="0.3">
      <c r="A35" s="7">
        <v>14099</v>
      </c>
      <c r="B35" s="7" t="s">
        <v>42</v>
      </c>
      <c r="C35" s="9">
        <v>0</v>
      </c>
      <c r="D35" s="10" t="s">
        <v>13</v>
      </c>
      <c r="E35" s="8">
        <v>16.89</v>
      </c>
      <c r="F35" s="14">
        <f t="shared" si="0"/>
        <v>0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2">
        <f t="shared" si="1"/>
        <v>0</v>
      </c>
      <c r="AM35" s="23">
        <f t="shared" si="2"/>
        <v>0</v>
      </c>
      <c r="AN35" s="25">
        <f t="shared" si="3"/>
        <v>0</v>
      </c>
    </row>
    <row r="36" spans="1:40" ht="25.05" customHeight="1" x14ac:dyDescent="0.3">
      <c r="A36" s="7">
        <v>22567</v>
      </c>
      <c r="B36" s="7" t="s">
        <v>43</v>
      </c>
      <c r="C36" s="9">
        <v>0</v>
      </c>
      <c r="D36" s="10" t="s">
        <v>13</v>
      </c>
      <c r="E36" s="8">
        <v>19.89</v>
      </c>
      <c r="F36" s="14">
        <f t="shared" si="0"/>
        <v>0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2">
        <f t="shared" si="1"/>
        <v>0</v>
      </c>
      <c r="AM36" s="23">
        <f t="shared" si="2"/>
        <v>0</v>
      </c>
      <c r="AN36" s="25">
        <f t="shared" si="3"/>
        <v>0</v>
      </c>
    </row>
    <row r="37" spans="1:40" ht="25.05" customHeight="1" x14ac:dyDescent="0.3">
      <c r="C37" s="11">
        <f>SUM(C7:C36)</f>
        <v>0</v>
      </c>
      <c r="E37" s="12" t="s">
        <v>44</v>
      </c>
      <c r="F37" s="13">
        <f>SUM(F7:F36)</f>
        <v>0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26">
        <f>SUM(AN7:AN36)</f>
        <v>0</v>
      </c>
    </row>
    <row r="38" spans="1:40" ht="22.05" customHeight="1" x14ac:dyDescent="0.3"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22.05" customHeight="1" x14ac:dyDescent="0.3"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2.05" customHeight="1" x14ac:dyDescent="0.3"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22.05" customHeight="1" x14ac:dyDescent="0.3"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22.05" customHeight="1" x14ac:dyDescent="0.3"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22.05" customHeight="1" x14ac:dyDescent="0.3"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22.05" customHeight="1" x14ac:dyDescent="0.3"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2.05" customHeight="1" x14ac:dyDescent="0.3"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2.05" customHeight="1" x14ac:dyDescent="0.3"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2.05" customHeight="1" x14ac:dyDescent="0.3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2.05" customHeight="1" x14ac:dyDescent="0.3"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5:40" ht="22.05" customHeight="1" x14ac:dyDescent="0.3"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5:40" ht="22.05" customHeight="1" x14ac:dyDescent="0.3"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5:40" ht="22.05" customHeight="1" x14ac:dyDescent="0.3"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5:40" ht="22.05" customHeight="1" x14ac:dyDescent="0.3"/>
    <row r="53" spans="5:40" ht="22.05" customHeight="1" x14ac:dyDescent="0.3"/>
    <row r="54" spans="5:40" ht="22.05" customHeight="1" x14ac:dyDescent="0.3"/>
    <row r="55" spans="5:40" ht="22.05" customHeight="1" x14ac:dyDescent="0.3"/>
    <row r="56" spans="5:40" ht="22.05" customHeight="1" x14ac:dyDescent="0.3"/>
    <row r="57" spans="5:40" ht="22.05" customHeight="1" x14ac:dyDescent="0.3"/>
    <row r="58" spans="5:40" ht="22.05" customHeight="1" x14ac:dyDescent="0.3"/>
    <row r="59" spans="5:40" ht="22.05" customHeight="1" x14ac:dyDescent="0.3"/>
    <row r="60" spans="5:40" ht="22.05" customHeight="1" x14ac:dyDescent="0.3"/>
    <row r="61" spans="5:40" ht="22.05" customHeight="1" x14ac:dyDescent="0.3"/>
    <row r="62" spans="5:40" ht="22.05" customHeight="1" x14ac:dyDescent="0.3"/>
    <row r="63" spans="5:40" ht="22.05" customHeight="1" x14ac:dyDescent="0.3"/>
    <row r="64" spans="5:40" ht="22.05" customHeight="1" x14ac:dyDescent="0.3"/>
    <row r="65" ht="22.05" customHeight="1" x14ac:dyDescent="0.3"/>
    <row r="66" ht="22.05" customHeight="1" x14ac:dyDescent="0.3"/>
    <row r="67" ht="22.05" customHeight="1" x14ac:dyDescent="0.3"/>
    <row r="68" ht="22.05" customHeight="1" x14ac:dyDescent="0.3"/>
    <row r="69" ht="22.05" customHeight="1" x14ac:dyDescent="0.3"/>
    <row r="70" ht="22.05" customHeight="1" x14ac:dyDescent="0.3"/>
    <row r="71" ht="22.05" customHeight="1" x14ac:dyDescent="0.3"/>
    <row r="72" ht="22.05" customHeight="1" x14ac:dyDescent="0.3"/>
    <row r="73" ht="22.05" customHeight="1" x14ac:dyDescent="0.3"/>
    <row r="74" ht="22.05" customHeight="1" x14ac:dyDescent="0.3"/>
    <row r="75" ht="22.05" customHeight="1" x14ac:dyDescent="0.3"/>
    <row r="76" ht="22.05" customHeight="1" x14ac:dyDescent="0.3"/>
    <row r="77" ht="22.05" customHeight="1" x14ac:dyDescent="0.3"/>
    <row r="78" ht="22.05" customHeight="1" x14ac:dyDescent="0.3"/>
    <row r="79" ht="22.05" customHeight="1" x14ac:dyDescent="0.3"/>
    <row r="80" ht="22.05" customHeight="1" x14ac:dyDescent="0.3"/>
    <row r="81" ht="22.05" customHeight="1" x14ac:dyDescent="0.3"/>
    <row r="82" ht="22.05" customHeight="1" x14ac:dyDescent="0.3"/>
    <row r="83" ht="22.05" customHeight="1" x14ac:dyDescent="0.3"/>
    <row r="84" ht="22.05" customHeight="1" x14ac:dyDescent="0.3"/>
    <row r="85" ht="22.05" customHeight="1" x14ac:dyDescent="0.3"/>
    <row r="86" ht="22.05" customHeight="1" x14ac:dyDescent="0.3"/>
    <row r="87" ht="22.05" customHeight="1" x14ac:dyDescent="0.3"/>
    <row r="88" ht="22.05" customHeight="1" x14ac:dyDescent="0.3"/>
    <row r="89" ht="22.05" customHeight="1" x14ac:dyDescent="0.3"/>
    <row r="90" ht="22.05" customHeight="1" x14ac:dyDescent="0.3"/>
    <row r="91" ht="22.05" customHeight="1" x14ac:dyDescent="0.3"/>
    <row r="92" ht="22.05" customHeight="1" x14ac:dyDescent="0.3"/>
    <row r="93" ht="22.05" customHeight="1" x14ac:dyDescent="0.3"/>
    <row r="94" ht="22.05" customHeight="1" x14ac:dyDescent="0.3"/>
    <row r="95" ht="22.05" customHeight="1" x14ac:dyDescent="0.3"/>
    <row r="96" ht="22.05" customHeight="1" x14ac:dyDescent="0.3"/>
    <row r="97" ht="22.05" customHeight="1" x14ac:dyDescent="0.3"/>
    <row r="98" ht="22.05" customHeight="1" x14ac:dyDescent="0.3"/>
    <row r="99" ht="22.05" customHeight="1" x14ac:dyDescent="0.3"/>
    <row r="100" ht="22.05" customHeight="1" x14ac:dyDescent="0.3"/>
    <row r="101" ht="22.05" customHeight="1" x14ac:dyDescent="0.3"/>
    <row r="102" ht="22.05" customHeight="1" x14ac:dyDescent="0.3"/>
    <row r="103" ht="22.05" customHeight="1" x14ac:dyDescent="0.3"/>
    <row r="104" ht="22.05" customHeight="1" x14ac:dyDescent="0.3"/>
    <row r="105" ht="22.05" customHeight="1" x14ac:dyDescent="0.3"/>
    <row r="106" ht="22.05" customHeight="1" x14ac:dyDescent="0.3"/>
    <row r="107" ht="22.05" customHeight="1" x14ac:dyDescent="0.3"/>
    <row r="108" ht="22.05" customHeight="1" x14ac:dyDescent="0.3"/>
    <row r="109" ht="22.05" customHeight="1" x14ac:dyDescent="0.3"/>
    <row r="110" ht="22.05" customHeight="1" x14ac:dyDescent="0.3"/>
    <row r="111" ht="22.05" customHeight="1" x14ac:dyDescent="0.3"/>
    <row r="112" ht="22.05" customHeight="1" x14ac:dyDescent="0.3"/>
    <row r="113" ht="22.05" customHeight="1" x14ac:dyDescent="0.3"/>
    <row r="114" ht="22.05" customHeight="1" x14ac:dyDescent="0.3"/>
    <row r="115" ht="22.05" customHeight="1" x14ac:dyDescent="0.3"/>
    <row r="116" ht="22.05" customHeight="1" x14ac:dyDescent="0.3"/>
    <row r="117" ht="22.05" customHeight="1" x14ac:dyDescent="0.3"/>
    <row r="118" ht="22.05" customHeight="1" x14ac:dyDescent="0.3"/>
    <row r="119" ht="22.05" customHeight="1" x14ac:dyDescent="0.3"/>
    <row r="120" ht="22.05" customHeight="1" x14ac:dyDescent="0.3"/>
    <row r="121" ht="22.05" customHeight="1" x14ac:dyDescent="0.3"/>
    <row r="122" ht="22.05" customHeight="1" x14ac:dyDescent="0.3"/>
    <row r="123" ht="22.05" customHeight="1" x14ac:dyDescent="0.3"/>
    <row r="124" ht="22.05" customHeight="1" x14ac:dyDescent="0.3"/>
    <row r="125" ht="22.05" customHeight="1" x14ac:dyDescent="0.3"/>
    <row r="126" ht="22.05" customHeight="1" x14ac:dyDescent="0.3"/>
    <row r="127" ht="22.05" customHeight="1" x14ac:dyDescent="0.3"/>
    <row r="128" ht="22.05" customHeight="1" x14ac:dyDescent="0.3"/>
    <row r="129" ht="22.05" customHeight="1" x14ac:dyDescent="0.3"/>
    <row r="130" ht="22.05" customHeight="1" x14ac:dyDescent="0.3"/>
    <row r="131" ht="22.05" customHeight="1" x14ac:dyDescent="0.3"/>
    <row r="132" ht="22.05" customHeight="1" x14ac:dyDescent="0.3"/>
    <row r="133" ht="22.05" customHeight="1" x14ac:dyDescent="0.3"/>
    <row r="134" ht="22.05" customHeight="1" x14ac:dyDescent="0.3"/>
    <row r="135" ht="22.05" customHeight="1" x14ac:dyDescent="0.3"/>
    <row r="136" ht="22.05" customHeight="1" x14ac:dyDescent="0.3"/>
    <row r="137" ht="22.05" customHeight="1" x14ac:dyDescent="0.3"/>
    <row r="138" ht="22.05" customHeight="1" x14ac:dyDescent="0.3"/>
    <row r="139" ht="22.05" customHeight="1" x14ac:dyDescent="0.3"/>
    <row r="140" ht="22.05" customHeight="1" x14ac:dyDescent="0.3"/>
    <row r="141" ht="22.05" customHeight="1" x14ac:dyDescent="0.3"/>
    <row r="142" ht="22.05" customHeight="1" x14ac:dyDescent="0.3"/>
    <row r="143" ht="22.05" customHeight="1" x14ac:dyDescent="0.3"/>
    <row r="144" ht="22.05" customHeight="1" x14ac:dyDescent="0.3"/>
    <row r="145" ht="22.05" customHeight="1" x14ac:dyDescent="0.3"/>
    <row r="146" ht="22.05" customHeight="1" x14ac:dyDescent="0.3"/>
    <row r="147" ht="22.05" customHeight="1" x14ac:dyDescent="0.3"/>
    <row r="148" ht="22.05" customHeight="1" x14ac:dyDescent="0.3"/>
    <row r="149" ht="22.05" customHeight="1" x14ac:dyDescent="0.3"/>
    <row r="150" ht="22.05" customHeight="1" x14ac:dyDescent="0.3"/>
    <row r="151" ht="22.05" customHeight="1" x14ac:dyDescent="0.3"/>
    <row r="152" ht="22.05" customHeight="1" x14ac:dyDescent="0.3"/>
    <row r="153" ht="22.05" customHeight="1" x14ac:dyDescent="0.3"/>
    <row r="154" ht="22.05" customHeight="1" x14ac:dyDescent="0.3"/>
    <row r="155" ht="22.05" customHeight="1" x14ac:dyDescent="0.3"/>
    <row r="156" ht="22.05" customHeight="1" x14ac:dyDescent="0.3"/>
    <row r="157" ht="22.05" customHeight="1" x14ac:dyDescent="0.3"/>
    <row r="158" ht="22.05" customHeight="1" x14ac:dyDescent="0.3"/>
    <row r="159" ht="22.05" customHeight="1" x14ac:dyDescent="0.3"/>
    <row r="160" ht="22.05" customHeight="1" x14ac:dyDescent="0.3"/>
    <row r="161" ht="22.05" customHeight="1" x14ac:dyDescent="0.3"/>
    <row r="162" ht="22.05" customHeight="1" x14ac:dyDescent="0.3"/>
    <row r="163" ht="22.05" customHeight="1" x14ac:dyDescent="0.3"/>
    <row r="164" ht="22.05" customHeight="1" x14ac:dyDescent="0.3"/>
    <row r="165" ht="22.05" customHeight="1" x14ac:dyDescent="0.3"/>
    <row r="166" ht="22.05" customHeight="1" x14ac:dyDescent="0.3"/>
    <row r="167" ht="22.05" customHeight="1" x14ac:dyDescent="0.3"/>
    <row r="168" ht="22.05" customHeight="1" x14ac:dyDescent="0.3"/>
    <row r="169" ht="22.05" customHeight="1" x14ac:dyDescent="0.3"/>
    <row r="170" ht="22.05" customHeight="1" x14ac:dyDescent="0.3"/>
    <row r="171" ht="22.05" customHeight="1" x14ac:dyDescent="0.3"/>
    <row r="172" ht="22.05" customHeight="1" x14ac:dyDescent="0.3"/>
    <row r="173" ht="22.05" customHeight="1" x14ac:dyDescent="0.3"/>
    <row r="174" ht="22.05" customHeight="1" x14ac:dyDescent="0.3"/>
    <row r="175" ht="22.05" customHeight="1" x14ac:dyDescent="0.3"/>
    <row r="176" ht="22.05" customHeight="1" x14ac:dyDescent="0.3"/>
    <row r="177" ht="22.05" customHeight="1" x14ac:dyDescent="0.3"/>
    <row r="178" ht="22.05" customHeight="1" x14ac:dyDescent="0.3"/>
    <row r="179" ht="22.05" customHeight="1" x14ac:dyDescent="0.3"/>
    <row r="180" ht="22.05" customHeight="1" x14ac:dyDescent="0.3"/>
    <row r="181" ht="22.05" customHeight="1" x14ac:dyDescent="0.3"/>
    <row r="182" ht="22.05" customHeight="1" x14ac:dyDescent="0.3"/>
    <row r="183" ht="22.05" customHeight="1" x14ac:dyDescent="0.3"/>
    <row r="184" ht="22.05" customHeight="1" x14ac:dyDescent="0.3"/>
    <row r="185" ht="22.05" customHeight="1" x14ac:dyDescent="0.3"/>
    <row r="186" ht="22.05" customHeight="1" x14ac:dyDescent="0.3"/>
    <row r="187" ht="22.05" customHeight="1" x14ac:dyDescent="0.3"/>
    <row r="188" ht="22.05" customHeight="1" x14ac:dyDescent="0.3"/>
    <row r="189" ht="22.05" customHeight="1" x14ac:dyDescent="0.3"/>
    <row r="190" ht="22.05" customHeight="1" x14ac:dyDescent="0.3"/>
    <row r="191" ht="22.05" customHeight="1" x14ac:dyDescent="0.3"/>
    <row r="192" ht="22.05" customHeight="1" x14ac:dyDescent="0.3"/>
    <row r="193" ht="22.05" customHeight="1" x14ac:dyDescent="0.3"/>
    <row r="194" ht="22.05" customHeight="1" x14ac:dyDescent="0.3"/>
    <row r="195" ht="22.05" customHeight="1" x14ac:dyDescent="0.3"/>
    <row r="196" ht="22.05" customHeight="1" x14ac:dyDescent="0.3"/>
    <row r="197" ht="22.05" customHeight="1" x14ac:dyDescent="0.3"/>
    <row r="198" ht="22.05" customHeight="1" x14ac:dyDescent="0.3"/>
    <row r="199" ht="22.05" customHeight="1" x14ac:dyDescent="0.3"/>
    <row r="200" ht="22.05" customHeight="1" x14ac:dyDescent="0.3"/>
    <row r="201" ht="22.05" customHeight="1" x14ac:dyDescent="0.3"/>
    <row r="202" ht="22.05" customHeight="1" x14ac:dyDescent="0.3"/>
    <row r="203" ht="22.05" customHeight="1" x14ac:dyDescent="0.3"/>
    <row r="204" ht="22.05" customHeight="1" x14ac:dyDescent="0.3"/>
    <row r="205" ht="22.05" customHeight="1" x14ac:dyDescent="0.3"/>
    <row r="206" ht="22.05" customHeight="1" x14ac:dyDescent="0.3"/>
    <row r="207" ht="22.05" customHeight="1" x14ac:dyDescent="0.3"/>
    <row r="208" ht="22.05" customHeight="1" x14ac:dyDescent="0.3"/>
    <row r="209" ht="22.05" customHeight="1" x14ac:dyDescent="0.3"/>
    <row r="210" ht="22.05" customHeight="1" x14ac:dyDescent="0.3"/>
    <row r="211" ht="22.05" customHeight="1" x14ac:dyDescent="0.3"/>
    <row r="212" ht="22.05" customHeight="1" x14ac:dyDescent="0.3"/>
    <row r="213" ht="22.05" customHeight="1" x14ac:dyDescent="0.3"/>
    <row r="214" ht="22.05" customHeight="1" x14ac:dyDescent="0.3"/>
    <row r="215" ht="22.05" customHeight="1" x14ac:dyDescent="0.3"/>
    <row r="216" ht="22.05" customHeight="1" x14ac:dyDescent="0.3"/>
    <row r="217" ht="22.05" customHeight="1" x14ac:dyDescent="0.3"/>
    <row r="218" ht="22.05" customHeight="1" x14ac:dyDescent="0.3"/>
    <row r="219" ht="22.05" customHeight="1" x14ac:dyDescent="0.3"/>
    <row r="220" ht="22.05" customHeight="1" x14ac:dyDescent="0.3"/>
    <row r="221" ht="22.05" customHeight="1" x14ac:dyDescent="0.3"/>
    <row r="222" ht="22.05" customHeight="1" x14ac:dyDescent="0.3"/>
    <row r="223" ht="22.05" customHeight="1" x14ac:dyDescent="0.3"/>
    <row r="224" ht="22.05" customHeight="1" x14ac:dyDescent="0.3"/>
    <row r="225" ht="22.05" customHeight="1" x14ac:dyDescent="0.3"/>
    <row r="226" ht="22.05" customHeight="1" x14ac:dyDescent="0.3"/>
    <row r="227" ht="22.05" customHeight="1" x14ac:dyDescent="0.3"/>
    <row r="228" ht="22.05" customHeight="1" x14ac:dyDescent="0.3"/>
    <row r="229" ht="22.05" customHeight="1" x14ac:dyDescent="0.3"/>
    <row r="230" ht="22.05" customHeight="1" x14ac:dyDescent="0.3"/>
    <row r="231" ht="22.05" customHeight="1" x14ac:dyDescent="0.3"/>
    <row r="232" ht="22.05" customHeight="1" x14ac:dyDescent="0.3"/>
    <row r="233" ht="22.05" customHeight="1" x14ac:dyDescent="0.3"/>
    <row r="234" ht="22.05" customHeight="1" x14ac:dyDescent="0.3"/>
    <row r="235" ht="22.05" customHeight="1" x14ac:dyDescent="0.3"/>
    <row r="236" ht="22.05" customHeight="1" x14ac:dyDescent="0.3"/>
    <row r="237" ht="22.05" customHeight="1" x14ac:dyDescent="0.3"/>
    <row r="238" ht="22.05" customHeight="1" x14ac:dyDescent="0.3"/>
    <row r="239" ht="22.05" customHeight="1" x14ac:dyDescent="0.3"/>
    <row r="240" ht="22.05" customHeight="1" x14ac:dyDescent="0.3"/>
    <row r="241" ht="22.05" customHeight="1" x14ac:dyDescent="0.3"/>
    <row r="242" ht="22.05" customHeight="1" x14ac:dyDescent="0.3"/>
    <row r="243" ht="22.05" customHeight="1" x14ac:dyDescent="0.3"/>
    <row r="244" ht="22.05" customHeight="1" x14ac:dyDescent="0.3"/>
    <row r="245" ht="22.05" customHeight="1" x14ac:dyDescent="0.3"/>
    <row r="246" ht="22.05" customHeight="1" x14ac:dyDescent="0.3"/>
    <row r="247" ht="22.05" customHeight="1" x14ac:dyDescent="0.3"/>
    <row r="248" ht="22.05" customHeight="1" x14ac:dyDescent="0.3"/>
    <row r="249" ht="22.05" customHeight="1" x14ac:dyDescent="0.3"/>
    <row r="250" ht="22.05" customHeight="1" x14ac:dyDescent="0.3"/>
    <row r="251" ht="22.05" customHeight="1" x14ac:dyDescent="0.3"/>
    <row r="252" ht="22.05" customHeight="1" x14ac:dyDescent="0.3"/>
    <row r="253" ht="22.05" customHeight="1" x14ac:dyDescent="0.3"/>
    <row r="254" ht="22.05" customHeight="1" x14ac:dyDescent="0.3"/>
    <row r="255" ht="22.05" customHeight="1" x14ac:dyDescent="0.3"/>
    <row r="256" ht="22.05" customHeight="1" x14ac:dyDescent="0.3"/>
    <row r="257" ht="22.05" customHeight="1" x14ac:dyDescent="0.3"/>
    <row r="258" ht="22.05" customHeight="1" x14ac:dyDescent="0.3"/>
    <row r="259" ht="22.05" customHeight="1" x14ac:dyDescent="0.3"/>
    <row r="260" ht="22.05" customHeight="1" x14ac:dyDescent="0.3"/>
    <row r="261" ht="22.05" customHeight="1" x14ac:dyDescent="0.3"/>
    <row r="262" ht="22.05" customHeight="1" x14ac:dyDescent="0.3"/>
    <row r="263" ht="22.05" customHeight="1" x14ac:dyDescent="0.3"/>
    <row r="264" ht="22.05" customHeight="1" x14ac:dyDescent="0.3"/>
    <row r="265" ht="22.05" customHeight="1" x14ac:dyDescent="0.3"/>
    <row r="266" ht="22.05" customHeight="1" x14ac:dyDescent="0.3"/>
    <row r="267" ht="22.05" customHeight="1" x14ac:dyDescent="0.3"/>
    <row r="268" ht="22.05" customHeight="1" x14ac:dyDescent="0.3"/>
    <row r="269" ht="22.05" customHeight="1" x14ac:dyDescent="0.3"/>
    <row r="270" ht="22.05" customHeight="1" x14ac:dyDescent="0.3"/>
    <row r="271" ht="22.05" customHeight="1" x14ac:dyDescent="0.3"/>
    <row r="272" ht="22.05" customHeight="1" x14ac:dyDescent="0.3"/>
    <row r="273" ht="22.05" customHeight="1" x14ac:dyDescent="0.3"/>
    <row r="274" ht="22.05" customHeight="1" x14ac:dyDescent="0.3"/>
    <row r="275" ht="22.05" customHeight="1" x14ac:dyDescent="0.3"/>
    <row r="276" ht="22.05" customHeight="1" x14ac:dyDescent="0.3"/>
    <row r="277" ht="22.05" customHeight="1" x14ac:dyDescent="0.3"/>
    <row r="278" ht="22.05" customHeight="1" x14ac:dyDescent="0.3"/>
    <row r="279" ht="22.05" customHeight="1" x14ac:dyDescent="0.3"/>
    <row r="280" ht="22.05" customHeight="1" x14ac:dyDescent="0.3"/>
    <row r="281" ht="22.05" customHeight="1" x14ac:dyDescent="0.3"/>
    <row r="282" ht="22.05" customHeight="1" x14ac:dyDescent="0.3"/>
    <row r="283" ht="22.05" customHeight="1" x14ac:dyDescent="0.3"/>
    <row r="284" ht="22.05" customHeight="1" x14ac:dyDescent="0.3"/>
    <row r="285" ht="22.05" customHeight="1" x14ac:dyDescent="0.3"/>
    <row r="286" ht="22.05" customHeight="1" x14ac:dyDescent="0.3"/>
    <row r="287" ht="22.05" customHeight="1" x14ac:dyDescent="0.3"/>
    <row r="288" ht="22.05" customHeight="1" x14ac:dyDescent="0.3"/>
    <row r="289" ht="22.05" customHeight="1" x14ac:dyDescent="0.3"/>
    <row r="290" ht="22.05" customHeight="1" x14ac:dyDescent="0.3"/>
    <row r="291" ht="22.05" customHeight="1" x14ac:dyDescent="0.3"/>
    <row r="292" ht="22.05" customHeight="1" x14ac:dyDescent="0.3"/>
    <row r="293" ht="22.05" customHeight="1" x14ac:dyDescent="0.3"/>
    <row r="294" ht="22.05" customHeight="1" x14ac:dyDescent="0.3"/>
    <row r="295" ht="22.05" customHeight="1" x14ac:dyDescent="0.3"/>
    <row r="296" ht="22.05" customHeight="1" x14ac:dyDescent="0.3"/>
    <row r="297" ht="22.05" customHeight="1" x14ac:dyDescent="0.3"/>
    <row r="298" ht="22.05" customHeight="1" x14ac:dyDescent="0.3"/>
    <row r="299" ht="22.05" customHeight="1" x14ac:dyDescent="0.3"/>
    <row r="300" ht="22.05" customHeight="1" x14ac:dyDescent="0.3"/>
    <row r="301" ht="22.05" customHeight="1" x14ac:dyDescent="0.3"/>
    <row r="302" ht="22.05" customHeight="1" x14ac:dyDescent="0.3"/>
    <row r="303" ht="22.05" customHeight="1" x14ac:dyDescent="0.3"/>
    <row r="304" ht="22.05" customHeight="1" x14ac:dyDescent="0.3"/>
    <row r="305" ht="22.05" customHeight="1" x14ac:dyDescent="0.3"/>
    <row r="306" ht="22.05" customHeight="1" x14ac:dyDescent="0.3"/>
    <row r="307" ht="22.05" customHeight="1" x14ac:dyDescent="0.3"/>
    <row r="308" ht="22.05" customHeight="1" x14ac:dyDescent="0.3"/>
    <row r="309" ht="22.05" customHeight="1" x14ac:dyDescent="0.3"/>
    <row r="310" ht="22.05" customHeight="1" x14ac:dyDescent="0.3"/>
    <row r="311" ht="22.05" customHeight="1" x14ac:dyDescent="0.3"/>
    <row r="312" ht="22.05" customHeight="1" x14ac:dyDescent="0.3"/>
    <row r="313" ht="22.05" customHeight="1" x14ac:dyDescent="0.3"/>
    <row r="314" ht="22.05" customHeight="1" x14ac:dyDescent="0.3"/>
    <row r="315" ht="22.05" customHeight="1" x14ac:dyDescent="0.3"/>
    <row r="316" ht="22.05" customHeight="1" x14ac:dyDescent="0.3"/>
    <row r="317" ht="22.05" customHeight="1" x14ac:dyDescent="0.3"/>
    <row r="318" ht="22.05" customHeight="1" x14ac:dyDescent="0.3"/>
    <row r="319" ht="22.05" customHeight="1" x14ac:dyDescent="0.3"/>
    <row r="320" ht="22.05" customHeight="1" x14ac:dyDescent="0.3"/>
    <row r="321" ht="22.05" customHeight="1" x14ac:dyDescent="0.3"/>
    <row r="322" ht="22.05" customHeight="1" x14ac:dyDescent="0.3"/>
    <row r="323" ht="22.05" customHeight="1" x14ac:dyDescent="0.3"/>
    <row r="324" ht="22.05" customHeight="1" x14ac:dyDescent="0.3"/>
    <row r="325" ht="22.05" customHeight="1" x14ac:dyDescent="0.3"/>
    <row r="326" ht="22.05" customHeight="1" x14ac:dyDescent="0.3"/>
    <row r="327" ht="22.05" customHeight="1" x14ac:dyDescent="0.3"/>
    <row r="328" ht="22.05" customHeight="1" x14ac:dyDescent="0.3"/>
    <row r="329" ht="22.05" customHeight="1" x14ac:dyDescent="0.3"/>
    <row r="330" ht="22.05" customHeight="1" x14ac:dyDescent="0.3"/>
    <row r="331" ht="22.05" customHeight="1" x14ac:dyDescent="0.3"/>
    <row r="332" ht="22.05" customHeight="1" x14ac:dyDescent="0.3"/>
    <row r="333" ht="22.05" customHeight="1" x14ac:dyDescent="0.3"/>
    <row r="334" ht="22.05" customHeight="1" x14ac:dyDescent="0.3"/>
    <row r="335" ht="22.05" customHeight="1" x14ac:dyDescent="0.3"/>
    <row r="336" ht="22.05" customHeight="1" x14ac:dyDescent="0.3"/>
    <row r="337" ht="22.05" customHeight="1" x14ac:dyDescent="0.3"/>
    <row r="338" ht="22.05" customHeight="1" x14ac:dyDescent="0.3"/>
    <row r="339" ht="22.05" customHeight="1" x14ac:dyDescent="0.3"/>
    <row r="340" ht="22.05" customHeight="1" x14ac:dyDescent="0.3"/>
    <row r="341" ht="22.05" customHeight="1" x14ac:dyDescent="0.3"/>
    <row r="342" ht="22.05" customHeight="1" x14ac:dyDescent="0.3"/>
    <row r="343" ht="22.05" customHeight="1" x14ac:dyDescent="0.3"/>
    <row r="344" ht="22.05" customHeight="1" x14ac:dyDescent="0.3"/>
    <row r="345" ht="22.05" customHeight="1" x14ac:dyDescent="0.3"/>
    <row r="346" ht="22.05" customHeight="1" x14ac:dyDescent="0.3"/>
    <row r="347" ht="22.05" customHeight="1" x14ac:dyDescent="0.3"/>
    <row r="348" ht="22.05" customHeight="1" x14ac:dyDescent="0.3"/>
    <row r="349" ht="22.05" customHeight="1" x14ac:dyDescent="0.3"/>
    <row r="350" ht="22.05" customHeight="1" x14ac:dyDescent="0.3"/>
    <row r="351" ht="22.05" customHeight="1" x14ac:dyDescent="0.3"/>
    <row r="352" ht="22.05" customHeight="1" x14ac:dyDescent="0.3"/>
    <row r="353" ht="22.05" customHeight="1" x14ac:dyDescent="0.3"/>
    <row r="354" ht="22.05" customHeight="1" x14ac:dyDescent="0.3"/>
    <row r="355" ht="22.05" customHeight="1" x14ac:dyDescent="0.3"/>
    <row r="356" ht="22.05" customHeight="1" x14ac:dyDescent="0.3"/>
    <row r="357" ht="22.05" customHeight="1" x14ac:dyDescent="0.3"/>
    <row r="358" ht="22.05" customHeight="1" x14ac:dyDescent="0.3"/>
    <row r="359" ht="22.05" customHeight="1" x14ac:dyDescent="0.3"/>
    <row r="360" ht="22.05" customHeight="1" x14ac:dyDescent="0.3"/>
    <row r="361" ht="22.05" customHeight="1" x14ac:dyDescent="0.3"/>
    <row r="362" ht="22.05" customHeight="1" x14ac:dyDescent="0.3"/>
    <row r="363" ht="22.05" customHeight="1" x14ac:dyDescent="0.3"/>
    <row r="364" ht="22.05" customHeight="1" x14ac:dyDescent="0.3"/>
    <row r="365" ht="22.05" customHeight="1" x14ac:dyDescent="0.3"/>
    <row r="366" ht="22.05" customHeight="1" x14ac:dyDescent="0.3"/>
    <row r="367" ht="22.05" customHeight="1" x14ac:dyDescent="0.3"/>
    <row r="368" ht="22.05" customHeight="1" x14ac:dyDescent="0.3"/>
    <row r="369" ht="22.05" customHeight="1" x14ac:dyDescent="0.3"/>
    <row r="370" ht="22.05" customHeight="1" x14ac:dyDescent="0.3"/>
    <row r="371" ht="22.05" customHeight="1" x14ac:dyDescent="0.3"/>
    <row r="372" ht="22.05" customHeight="1" x14ac:dyDescent="0.3"/>
    <row r="373" ht="22.05" customHeight="1" x14ac:dyDescent="0.3"/>
    <row r="374" ht="22.05" customHeight="1" x14ac:dyDescent="0.3"/>
    <row r="375" ht="22.05" customHeight="1" x14ac:dyDescent="0.3"/>
    <row r="376" ht="22.05" customHeight="1" x14ac:dyDescent="0.3"/>
    <row r="377" ht="22.05" customHeight="1" x14ac:dyDescent="0.3"/>
    <row r="378" ht="22.05" customHeight="1" x14ac:dyDescent="0.3"/>
    <row r="379" ht="22.05" customHeight="1" x14ac:dyDescent="0.3"/>
    <row r="380" ht="22.05" customHeight="1" x14ac:dyDescent="0.3"/>
    <row r="381" ht="22.05" customHeight="1" x14ac:dyDescent="0.3"/>
    <row r="382" ht="22.05" customHeight="1" x14ac:dyDescent="0.3"/>
    <row r="383" ht="22.05" customHeight="1" x14ac:dyDescent="0.3"/>
    <row r="384" ht="22.05" customHeight="1" x14ac:dyDescent="0.3"/>
    <row r="385" ht="22.05" customHeight="1" x14ac:dyDescent="0.3"/>
    <row r="386" ht="22.05" customHeight="1" x14ac:dyDescent="0.3"/>
    <row r="387" ht="22.05" customHeight="1" x14ac:dyDescent="0.3"/>
    <row r="388" ht="22.05" customHeight="1" x14ac:dyDescent="0.3"/>
    <row r="389" ht="22.05" customHeight="1" x14ac:dyDescent="0.3"/>
    <row r="390" ht="22.05" customHeight="1" x14ac:dyDescent="0.3"/>
    <row r="391" ht="22.05" customHeight="1" x14ac:dyDescent="0.3"/>
    <row r="392" ht="22.05" customHeight="1" x14ac:dyDescent="0.3"/>
    <row r="393" ht="22.05" customHeight="1" x14ac:dyDescent="0.3"/>
    <row r="394" ht="22.05" customHeight="1" x14ac:dyDescent="0.3"/>
    <row r="395" ht="22.05" customHeight="1" x14ac:dyDescent="0.3"/>
    <row r="396" ht="22.05" customHeight="1" x14ac:dyDescent="0.3"/>
    <row r="397" ht="22.05" customHeight="1" x14ac:dyDescent="0.3"/>
    <row r="398" ht="22.05" customHeight="1" x14ac:dyDescent="0.3"/>
    <row r="399" ht="22.05" customHeight="1" x14ac:dyDescent="0.3"/>
    <row r="400" ht="22.05" customHeight="1" x14ac:dyDescent="0.3"/>
    <row r="401" ht="22.05" customHeight="1" x14ac:dyDescent="0.3"/>
    <row r="402" ht="22.05" customHeight="1" x14ac:dyDescent="0.3"/>
    <row r="403" ht="22.05" customHeight="1" x14ac:dyDescent="0.3"/>
    <row r="404" ht="22.05" customHeight="1" x14ac:dyDescent="0.3"/>
    <row r="405" ht="22.05" customHeight="1" x14ac:dyDescent="0.3"/>
    <row r="406" ht="22.05" customHeight="1" x14ac:dyDescent="0.3"/>
    <row r="407" ht="22.05" customHeight="1" x14ac:dyDescent="0.3"/>
    <row r="408" ht="22.05" customHeight="1" x14ac:dyDescent="0.3"/>
    <row r="409" ht="22.05" customHeight="1" x14ac:dyDescent="0.3"/>
    <row r="410" ht="22.05" customHeight="1" x14ac:dyDescent="0.3"/>
    <row r="411" ht="22.05" customHeight="1" x14ac:dyDescent="0.3"/>
    <row r="412" ht="22.05" customHeight="1" x14ac:dyDescent="0.3"/>
    <row r="413" ht="22.05" customHeight="1" x14ac:dyDescent="0.3"/>
    <row r="414" ht="22.05" customHeight="1" x14ac:dyDescent="0.3"/>
    <row r="415" ht="22.05" customHeight="1" x14ac:dyDescent="0.3"/>
    <row r="416" ht="22.05" customHeight="1" x14ac:dyDescent="0.3"/>
    <row r="417" ht="22.05" customHeight="1" x14ac:dyDescent="0.3"/>
    <row r="418" ht="22.05" customHeight="1" x14ac:dyDescent="0.3"/>
    <row r="419" ht="22.05" customHeight="1" x14ac:dyDescent="0.3"/>
    <row r="420" ht="22.05" customHeight="1" x14ac:dyDescent="0.3"/>
    <row r="421" ht="22.05" customHeight="1" x14ac:dyDescent="0.3"/>
    <row r="422" ht="22.05" customHeight="1" x14ac:dyDescent="0.3"/>
    <row r="423" ht="22.05" customHeight="1" x14ac:dyDescent="0.3"/>
    <row r="424" ht="22.05" customHeight="1" x14ac:dyDescent="0.3"/>
    <row r="425" ht="22.05" customHeight="1" x14ac:dyDescent="0.3"/>
    <row r="426" ht="22.05" customHeight="1" x14ac:dyDescent="0.3"/>
    <row r="427" ht="22.05" customHeight="1" x14ac:dyDescent="0.3"/>
    <row r="428" ht="22.05" customHeight="1" x14ac:dyDescent="0.3"/>
    <row r="429" ht="22.05" customHeight="1" x14ac:dyDescent="0.3"/>
    <row r="430" ht="22.05" customHeight="1" x14ac:dyDescent="0.3"/>
    <row r="431" ht="22.05" customHeight="1" x14ac:dyDescent="0.3"/>
    <row r="432" ht="22.05" customHeight="1" x14ac:dyDescent="0.3"/>
    <row r="433" ht="22.05" customHeight="1" x14ac:dyDescent="0.3"/>
    <row r="434" ht="22.05" customHeight="1" x14ac:dyDescent="0.3"/>
    <row r="435" ht="22.05" customHeight="1" x14ac:dyDescent="0.3"/>
    <row r="436" ht="22.05" customHeight="1" x14ac:dyDescent="0.3"/>
    <row r="437" ht="22.05" customHeight="1" x14ac:dyDescent="0.3"/>
    <row r="438" ht="22.05" customHeight="1" x14ac:dyDescent="0.3"/>
    <row r="439" ht="22.05" customHeight="1" x14ac:dyDescent="0.3"/>
    <row r="440" ht="22.05" customHeight="1" x14ac:dyDescent="0.3"/>
    <row r="441" ht="22.05" customHeight="1" x14ac:dyDescent="0.3"/>
    <row r="442" ht="22.05" customHeight="1" x14ac:dyDescent="0.3"/>
    <row r="443" ht="22.05" customHeight="1" x14ac:dyDescent="0.3"/>
    <row r="444" ht="22.05" customHeight="1" x14ac:dyDescent="0.3"/>
    <row r="445" ht="22.05" customHeight="1" x14ac:dyDescent="0.3"/>
    <row r="446" ht="22.05" customHeight="1" x14ac:dyDescent="0.3"/>
    <row r="447" ht="22.05" customHeight="1" x14ac:dyDescent="0.3"/>
    <row r="448" ht="22.05" customHeight="1" x14ac:dyDescent="0.3"/>
    <row r="449" ht="22.05" customHeight="1" x14ac:dyDescent="0.3"/>
    <row r="450" ht="22.05" customHeight="1" x14ac:dyDescent="0.3"/>
    <row r="451" ht="22.05" customHeight="1" x14ac:dyDescent="0.3"/>
    <row r="452" ht="22.05" customHeight="1" x14ac:dyDescent="0.3"/>
    <row r="453" ht="22.05" customHeight="1" x14ac:dyDescent="0.3"/>
    <row r="454" ht="22.05" customHeight="1" x14ac:dyDescent="0.3"/>
    <row r="455" ht="22.05" customHeight="1" x14ac:dyDescent="0.3"/>
    <row r="456" ht="22.05" customHeight="1" x14ac:dyDescent="0.3"/>
    <row r="457" ht="22.05" customHeight="1" x14ac:dyDescent="0.3"/>
    <row r="458" ht="22.05" customHeight="1" x14ac:dyDescent="0.3"/>
    <row r="459" ht="22.05" customHeight="1" x14ac:dyDescent="0.3"/>
    <row r="460" ht="22.05" customHeight="1" x14ac:dyDescent="0.3"/>
    <row r="461" ht="22.05" customHeight="1" x14ac:dyDescent="0.3"/>
    <row r="462" ht="22.05" customHeight="1" x14ac:dyDescent="0.3"/>
    <row r="463" ht="22.05" customHeight="1" x14ac:dyDescent="0.3"/>
    <row r="464" ht="22.05" customHeight="1" x14ac:dyDescent="0.3"/>
    <row r="465" ht="22.05" customHeight="1" x14ac:dyDescent="0.3"/>
    <row r="466" ht="22.05" customHeight="1" x14ac:dyDescent="0.3"/>
    <row r="467" ht="22.05" customHeight="1" x14ac:dyDescent="0.3"/>
    <row r="468" ht="22.05" customHeight="1" x14ac:dyDescent="0.3"/>
    <row r="469" ht="22.05" customHeight="1" x14ac:dyDescent="0.3"/>
    <row r="470" ht="22.05" customHeight="1" x14ac:dyDescent="0.3"/>
    <row r="471" ht="22.05" customHeight="1" x14ac:dyDescent="0.3"/>
    <row r="472" ht="22.05" customHeight="1" x14ac:dyDescent="0.3"/>
    <row r="473" ht="22.05" customHeight="1" x14ac:dyDescent="0.3"/>
    <row r="474" ht="22.05" customHeight="1" x14ac:dyDescent="0.3"/>
    <row r="475" ht="22.05" customHeight="1" x14ac:dyDescent="0.3"/>
    <row r="476" ht="22.05" customHeight="1" x14ac:dyDescent="0.3"/>
    <row r="477" ht="22.05" customHeight="1" x14ac:dyDescent="0.3"/>
    <row r="478" ht="22.05" customHeight="1" x14ac:dyDescent="0.3"/>
    <row r="479" ht="22.05" customHeight="1" x14ac:dyDescent="0.3"/>
    <row r="480" ht="22.05" customHeight="1" x14ac:dyDescent="0.3"/>
    <row r="481" ht="22.05" customHeight="1" x14ac:dyDescent="0.3"/>
    <row r="482" ht="22.05" customHeight="1" x14ac:dyDescent="0.3"/>
    <row r="483" ht="22.05" customHeight="1" x14ac:dyDescent="0.3"/>
    <row r="484" ht="22.05" customHeight="1" x14ac:dyDescent="0.3"/>
    <row r="485" ht="22.05" customHeight="1" x14ac:dyDescent="0.3"/>
    <row r="486" ht="22.05" customHeight="1" x14ac:dyDescent="0.3"/>
    <row r="487" ht="22.05" customHeight="1" x14ac:dyDescent="0.3"/>
    <row r="488" ht="22.05" customHeight="1" x14ac:dyDescent="0.3"/>
    <row r="489" ht="22.05" customHeight="1" x14ac:dyDescent="0.3"/>
    <row r="490" ht="22.05" customHeight="1" x14ac:dyDescent="0.3"/>
    <row r="491" ht="22.05" customHeight="1" x14ac:dyDescent="0.3"/>
    <row r="492" ht="22.05" customHeight="1" x14ac:dyDescent="0.3"/>
    <row r="493" ht="22.05" customHeight="1" x14ac:dyDescent="0.3"/>
    <row r="494" ht="22.05" customHeight="1" x14ac:dyDescent="0.3"/>
    <row r="495" ht="22.05" customHeight="1" x14ac:dyDescent="0.3"/>
    <row r="496" ht="22.05" customHeight="1" x14ac:dyDescent="0.3"/>
    <row r="497" ht="22.05" customHeight="1" x14ac:dyDescent="0.3"/>
    <row r="498" ht="22.05" customHeight="1" x14ac:dyDescent="0.3"/>
    <row r="499" ht="22.05" customHeight="1" x14ac:dyDescent="0.3"/>
    <row r="500" ht="22.05" customHeight="1" x14ac:dyDescent="0.3"/>
    <row r="501" ht="22.05" customHeight="1" x14ac:dyDescent="0.3"/>
    <row r="502" ht="22.05" customHeight="1" x14ac:dyDescent="0.3"/>
    <row r="503" ht="22.05" customHeight="1" x14ac:dyDescent="0.3"/>
    <row r="504" ht="22.05" customHeight="1" x14ac:dyDescent="0.3"/>
    <row r="505" ht="22.05" customHeight="1" x14ac:dyDescent="0.3"/>
    <row r="506" ht="22.05" customHeight="1" x14ac:dyDescent="0.3"/>
    <row r="507" ht="22.05" customHeight="1" x14ac:dyDescent="0.3"/>
    <row r="508" ht="22.05" customHeight="1" x14ac:dyDescent="0.3"/>
    <row r="509" ht="22.05" customHeight="1" x14ac:dyDescent="0.3"/>
    <row r="510" ht="22.05" customHeight="1" x14ac:dyDescent="0.3"/>
    <row r="511" ht="22.05" customHeight="1" x14ac:dyDescent="0.3"/>
    <row r="512" ht="22.05" customHeight="1" x14ac:dyDescent="0.3"/>
    <row r="513" ht="22.05" customHeight="1" x14ac:dyDescent="0.3"/>
    <row r="514" ht="22.05" customHeight="1" x14ac:dyDescent="0.3"/>
    <row r="515" ht="22.05" customHeight="1" x14ac:dyDescent="0.3"/>
    <row r="516" ht="22.05" customHeight="1" x14ac:dyDescent="0.3"/>
    <row r="517" ht="22.05" customHeight="1" x14ac:dyDescent="0.3"/>
    <row r="518" ht="22.05" customHeight="1" x14ac:dyDescent="0.3"/>
    <row r="519" ht="22.05" customHeight="1" x14ac:dyDescent="0.3"/>
    <row r="520" ht="22.05" customHeight="1" x14ac:dyDescent="0.3"/>
    <row r="521" ht="22.05" customHeight="1" x14ac:dyDescent="0.3"/>
    <row r="522" ht="22.05" customHeight="1" x14ac:dyDescent="0.3"/>
    <row r="523" ht="22.05" customHeight="1" x14ac:dyDescent="0.3"/>
    <row r="524" ht="22.05" customHeight="1" x14ac:dyDescent="0.3"/>
    <row r="525" ht="22.05" customHeight="1" x14ac:dyDescent="0.3"/>
    <row r="526" ht="22.05" customHeight="1" x14ac:dyDescent="0.3"/>
    <row r="527" ht="22.05" customHeight="1" x14ac:dyDescent="0.3"/>
    <row r="528" ht="22.05" customHeight="1" x14ac:dyDescent="0.3"/>
    <row r="529" ht="22.05" customHeight="1" x14ac:dyDescent="0.3"/>
    <row r="530" ht="22.05" customHeight="1" x14ac:dyDescent="0.3"/>
    <row r="531" ht="22.05" customHeight="1" x14ac:dyDescent="0.3"/>
    <row r="532" ht="22.05" customHeight="1" x14ac:dyDescent="0.3"/>
    <row r="533" ht="22.05" customHeight="1" x14ac:dyDescent="0.3"/>
    <row r="534" ht="22.05" customHeight="1" x14ac:dyDescent="0.3"/>
    <row r="535" ht="22.05" customHeight="1" x14ac:dyDescent="0.3"/>
    <row r="536" ht="22.05" customHeight="1" x14ac:dyDescent="0.3"/>
    <row r="537" ht="22.05" customHeight="1" x14ac:dyDescent="0.3"/>
    <row r="538" ht="22.05" customHeight="1" x14ac:dyDescent="0.3"/>
    <row r="539" ht="22.05" customHeight="1" x14ac:dyDescent="0.3"/>
    <row r="540" ht="22.05" customHeight="1" x14ac:dyDescent="0.3"/>
    <row r="541" ht="22.05" customHeight="1" x14ac:dyDescent="0.3"/>
    <row r="542" ht="22.05" customHeight="1" x14ac:dyDescent="0.3"/>
    <row r="543" ht="22.05" customHeight="1" x14ac:dyDescent="0.3"/>
    <row r="544" ht="22.05" customHeight="1" x14ac:dyDescent="0.3"/>
    <row r="545" ht="22.05" customHeight="1" x14ac:dyDescent="0.3"/>
    <row r="546" ht="22.05" customHeight="1" x14ac:dyDescent="0.3"/>
    <row r="547" ht="22.05" customHeight="1" x14ac:dyDescent="0.3"/>
    <row r="548" ht="22.05" customHeight="1" x14ac:dyDescent="0.3"/>
    <row r="549" ht="22.05" customHeight="1" x14ac:dyDescent="0.3"/>
    <row r="550" ht="22.05" customHeight="1" x14ac:dyDescent="0.3"/>
    <row r="551" ht="22.05" customHeight="1" x14ac:dyDescent="0.3"/>
    <row r="552" ht="22.05" customHeight="1" x14ac:dyDescent="0.3"/>
    <row r="553" ht="22.05" customHeight="1" x14ac:dyDescent="0.3"/>
    <row r="554" ht="22.05" customHeight="1" x14ac:dyDescent="0.3"/>
    <row r="555" ht="22.05" customHeight="1" x14ac:dyDescent="0.3"/>
    <row r="556" ht="22.05" customHeight="1" x14ac:dyDescent="0.3"/>
    <row r="557" ht="22.05" customHeight="1" x14ac:dyDescent="0.3"/>
    <row r="558" ht="22.05" customHeight="1" x14ac:dyDescent="0.3"/>
    <row r="559" ht="22.05" customHeight="1" x14ac:dyDescent="0.3"/>
    <row r="560" ht="22.05" customHeight="1" x14ac:dyDescent="0.3"/>
    <row r="561" ht="22.05" customHeight="1" x14ac:dyDescent="0.3"/>
    <row r="562" ht="22.05" customHeight="1" x14ac:dyDescent="0.3"/>
    <row r="563" ht="22.05" customHeight="1" x14ac:dyDescent="0.3"/>
    <row r="564" ht="22.05" customHeight="1" x14ac:dyDescent="0.3"/>
    <row r="565" ht="22.05" customHeight="1" x14ac:dyDescent="0.3"/>
    <row r="566" ht="22.05" customHeight="1" x14ac:dyDescent="0.3"/>
    <row r="567" ht="22.05" customHeight="1" x14ac:dyDescent="0.3"/>
    <row r="568" ht="22.05" customHeight="1" x14ac:dyDescent="0.3"/>
    <row r="569" ht="22.05" customHeight="1" x14ac:dyDescent="0.3"/>
    <row r="570" ht="22.05" customHeight="1" x14ac:dyDescent="0.3"/>
    <row r="571" ht="22.05" customHeight="1" x14ac:dyDescent="0.3"/>
    <row r="572" ht="22.05" customHeight="1" x14ac:dyDescent="0.3"/>
    <row r="573" ht="22.05" customHeight="1" x14ac:dyDescent="0.3"/>
    <row r="574" ht="22.05" customHeight="1" x14ac:dyDescent="0.3"/>
    <row r="575" ht="22.05" customHeight="1" x14ac:dyDescent="0.3"/>
    <row r="576" ht="22.05" customHeight="1" x14ac:dyDescent="0.3"/>
    <row r="577" ht="22.05" customHeight="1" x14ac:dyDescent="0.3"/>
    <row r="578" ht="22.05" customHeight="1" x14ac:dyDescent="0.3"/>
    <row r="579" ht="22.05" customHeight="1" x14ac:dyDescent="0.3"/>
    <row r="580" ht="22.05" customHeight="1" x14ac:dyDescent="0.3"/>
    <row r="581" ht="22.05" customHeight="1" x14ac:dyDescent="0.3"/>
    <row r="582" ht="22.05" customHeight="1" x14ac:dyDescent="0.3"/>
    <row r="583" ht="22.05" customHeight="1" x14ac:dyDescent="0.3"/>
    <row r="584" ht="22.05" customHeight="1" x14ac:dyDescent="0.3"/>
    <row r="585" ht="22.05" customHeight="1" x14ac:dyDescent="0.3"/>
    <row r="586" ht="22.05" customHeight="1" x14ac:dyDescent="0.3"/>
    <row r="587" ht="22.05" customHeight="1" x14ac:dyDescent="0.3"/>
    <row r="588" ht="22.05" customHeight="1" x14ac:dyDescent="0.3"/>
    <row r="589" ht="22.05" customHeight="1" x14ac:dyDescent="0.3"/>
    <row r="590" ht="22.05" customHeight="1" x14ac:dyDescent="0.3"/>
    <row r="591" ht="22.05" customHeight="1" x14ac:dyDescent="0.3"/>
    <row r="592" ht="22.05" customHeight="1" x14ac:dyDescent="0.3"/>
    <row r="593" ht="22.05" customHeight="1" x14ac:dyDescent="0.3"/>
    <row r="594" ht="22.05" customHeight="1" x14ac:dyDescent="0.3"/>
    <row r="595" ht="22.05" customHeight="1" x14ac:dyDescent="0.3"/>
    <row r="596" ht="22.05" customHeight="1" x14ac:dyDescent="0.3"/>
    <row r="597" ht="22.05" customHeight="1" x14ac:dyDescent="0.3"/>
    <row r="598" ht="22.05" customHeight="1" x14ac:dyDescent="0.3"/>
    <row r="599" ht="22.05" customHeight="1" x14ac:dyDescent="0.3"/>
    <row r="600" ht="22.05" customHeight="1" x14ac:dyDescent="0.3"/>
    <row r="601" ht="22.05" customHeight="1" x14ac:dyDescent="0.3"/>
    <row r="602" ht="22.05" customHeight="1" x14ac:dyDescent="0.3"/>
    <row r="603" ht="22.05" customHeight="1" x14ac:dyDescent="0.3"/>
    <row r="604" ht="22.05" customHeight="1" x14ac:dyDescent="0.3"/>
    <row r="605" ht="22.05" customHeight="1" x14ac:dyDescent="0.3"/>
    <row r="606" ht="22.05" customHeight="1" x14ac:dyDescent="0.3"/>
    <row r="607" ht="22.05" customHeight="1" x14ac:dyDescent="0.3"/>
    <row r="608" ht="22.05" customHeight="1" x14ac:dyDescent="0.3"/>
    <row r="609" ht="22.05" customHeight="1" x14ac:dyDescent="0.3"/>
    <row r="610" ht="22.05" customHeight="1" x14ac:dyDescent="0.3"/>
    <row r="611" ht="22.05" customHeight="1" x14ac:dyDescent="0.3"/>
    <row r="612" ht="22.05" customHeight="1" x14ac:dyDescent="0.3"/>
    <row r="613" ht="22.05" customHeight="1" x14ac:dyDescent="0.3"/>
    <row r="614" ht="22.05" customHeight="1" x14ac:dyDescent="0.3"/>
    <row r="615" ht="22.05" customHeight="1" x14ac:dyDescent="0.3"/>
    <row r="616" ht="22.05" customHeight="1" x14ac:dyDescent="0.3"/>
    <row r="617" ht="22.05" customHeight="1" x14ac:dyDescent="0.3"/>
    <row r="618" ht="22.05" customHeight="1" x14ac:dyDescent="0.3"/>
    <row r="619" ht="22.05" customHeight="1" x14ac:dyDescent="0.3"/>
    <row r="620" ht="22.05" customHeight="1" x14ac:dyDescent="0.3"/>
    <row r="621" ht="22.05" customHeight="1" x14ac:dyDescent="0.3"/>
    <row r="622" ht="22.05" customHeight="1" x14ac:dyDescent="0.3"/>
    <row r="623" ht="22.05" customHeight="1" x14ac:dyDescent="0.3"/>
    <row r="624" ht="22.05" customHeight="1" x14ac:dyDescent="0.3"/>
    <row r="625" ht="22.05" customHeight="1" x14ac:dyDescent="0.3"/>
    <row r="626" ht="22.05" customHeight="1" x14ac:dyDescent="0.3"/>
    <row r="627" ht="22.05" customHeight="1" x14ac:dyDescent="0.3"/>
    <row r="628" ht="22.05" customHeight="1" x14ac:dyDescent="0.3"/>
    <row r="629" ht="22.05" customHeight="1" x14ac:dyDescent="0.3"/>
    <row r="630" ht="22.05" customHeight="1" x14ac:dyDescent="0.3"/>
    <row r="631" ht="22.05" customHeight="1" x14ac:dyDescent="0.3"/>
    <row r="632" ht="22.05" customHeight="1" x14ac:dyDescent="0.3"/>
    <row r="633" ht="22.05" customHeight="1" x14ac:dyDescent="0.3"/>
    <row r="634" ht="22.05" customHeight="1" x14ac:dyDescent="0.3"/>
    <row r="635" ht="22.05" customHeight="1" x14ac:dyDescent="0.3"/>
    <row r="636" ht="22.05" customHeight="1" x14ac:dyDescent="0.3"/>
    <row r="637" ht="22.05" customHeight="1" x14ac:dyDescent="0.3"/>
    <row r="638" ht="22.05" customHeight="1" x14ac:dyDescent="0.3"/>
    <row r="639" ht="22.05" customHeight="1" x14ac:dyDescent="0.3"/>
    <row r="640" ht="22.05" customHeight="1" x14ac:dyDescent="0.3"/>
    <row r="641" ht="22.05" customHeight="1" x14ac:dyDescent="0.3"/>
    <row r="642" ht="22.05" customHeight="1" x14ac:dyDescent="0.3"/>
    <row r="643" ht="22.05" customHeight="1" x14ac:dyDescent="0.3"/>
    <row r="644" ht="22.05" customHeight="1" x14ac:dyDescent="0.3"/>
    <row r="645" ht="22.05" customHeight="1" x14ac:dyDescent="0.3"/>
    <row r="646" ht="22.05" customHeight="1" x14ac:dyDescent="0.3"/>
    <row r="647" ht="22.05" customHeight="1" x14ac:dyDescent="0.3"/>
    <row r="648" ht="22.05" customHeight="1" x14ac:dyDescent="0.3"/>
    <row r="649" ht="22.05" customHeight="1" x14ac:dyDescent="0.3"/>
    <row r="650" ht="22.05" customHeight="1" x14ac:dyDescent="0.3"/>
    <row r="651" ht="22.05" customHeight="1" x14ac:dyDescent="0.3"/>
    <row r="652" ht="22.05" customHeight="1" x14ac:dyDescent="0.3"/>
    <row r="653" ht="22.05" customHeight="1" x14ac:dyDescent="0.3"/>
    <row r="654" ht="22.05" customHeight="1" x14ac:dyDescent="0.3"/>
    <row r="655" ht="22.05" customHeight="1" x14ac:dyDescent="0.3"/>
    <row r="656" ht="22.05" customHeight="1" x14ac:dyDescent="0.3"/>
    <row r="657" ht="22.05" customHeight="1" x14ac:dyDescent="0.3"/>
    <row r="658" ht="22.05" customHeight="1" x14ac:dyDescent="0.3"/>
    <row r="659" ht="22.05" customHeight="1" x14ac:dyDescent="0.3"/>
    <row r="660" ht="22.05" customHeight="1" x14ac:dyDescent="0.3"/>
    <row r="661" ht="22.05" customHeight="1" x14ac:dyDescent="0.3"/>
    <row r="662" ht="22.05" customHeight="1" x14ac:dyDescent="0.3"/>
    <row r="663" ht="22.05" customHeight="1" x14ac:dyDescent="0.3"/>
    <row r="664" ht="22.05" customHeight="1" x14ac:dyDescent="0.3"/>
    <row r="665" ht="22.05" customHeight="1" x14ac:dyDescent="0.3"/>
    <row r="666" ht="22.05" customHeight="1" x14ac:dyDescent="0.3"/>
    <row r="667" ht="22.05" customHeight="1" x14ac:dyDescent="0.3"/>
    <row r="668" ht="22.05" customHeight="1" x14ac:dyDescent="0.3"/>
    <row r="669" ht="22.05" customHeight="1" x14ac:dyDescent="0.3"/>
    <row r="670" ht="22.05" customHeight="1" x14ac:dyDescent="0.3"/>
    <row r="671" ht="22.05" customHeight="1" x14ac:dyDescent="0.3"/>
    <row r="672" ht="22.05" customHeight="1" x14ac:dyDescent="0.3"/>
    <row r="673" ht="22.05" customHeight="1" x14ac:dyDescent="0.3"/>
    <row r="674" ht="22.05" customHeight="1" x14ac:dyDescent="0.3"/>
    <row r="675" ht="22.05" customHeight="1" x14ac:dyDescent="0.3"/>
    <row r="676" ht="22.05" customHeight="1" x14ac:dyDescent="0.3"/>
    <row r="677" ht="22.05" customHeight="1" x14ac:dyDescent="0.3"/>
    <row r="678" ht="22.05" customHeight="1" x14ac:dyDescent="0.3"/>
    <row r="679" ht="22.05" customHeight="1" x14ac:dyDescent="0.3"/>
    <row r="680" ht="22.05" customHeight="1" x14ac:dyDescent="0.3"/>
    <row r="681" ht="22.05" customHeight="1" x14ac:dyDescent="0.3"/>
    <row r="682" ht="22.05" customHeight="1" x14ac:dyDescent="0.3"/>
    <row r="683" ht="22.05" customHeight="1" x14ac:dyDescent="0.3"/>
    <row r="684" ht="22.05" customHeight="1" x14ac:dyDescent="0.3"/>
    <row r="685" ht="22.05" customHeight="1" x14ac:dyDescent="0.3"/>
    <row r="686" ht="22.05" customHeight="1" x14ac:dyDescent="0.3"/>
    <row r="687" ht="22.05" customHeight="1" x14ac:dyDescent="0.3"/>
    <row r="688" ht="22.05" customHeight="1" x14ac:dyDescent="0.3"/>
    <row r="689" ht="22.05" customHeight="1" x14ac:dyDescent="0.3"/>
    <row r="690" ht="22.05" customHeight="1" x14ac:dyDescent="0.3"/>
    <row r="691" ht="22.05" customHeight="1" x14ac:dyDescent="0.3"/>
    <row r="692" ht="22.05" customHeight="1" x14ac:dyDescent="0.3"/>
    <row r="693" ht="22.05" customHeight="1" x14ac:dyDescent="0.3"/>
    <row r="694" ht="22.05" customHeight="1" x14ac:dyDescent="0.3"/>
    <row r="695" ht="22.05" customHeight="1" x14ac:dyDescent="0.3"/>
    <row r="696" ht="22.05" customHeight="1" x14ac:dyDescent="0.3"/>
    <row r="697" ht="22.05" customHeight="1" x14ac:dyDescent="0.3"/>
    <row r="698" ht="22.05" customHeight="1" x14ac:dyDescent="0.3"/>
    <row r="699" ht="22.05" customHeight="1" x14ac:dyDescent="0.3"/>
    <row r="700" ht="22.05" customHeight="1" x14ac:dyDescent="0.3"/>
    <row r="701" ht="22.05" customHeight="1" x14ac:dyDescent="0.3"/>
    <row r="702" ht="22.05" customHeight="1" x14ac:dyDescent="0.3"/>
    <row r="703" ht="22.05" customHeight="1" x14ac:dyDescent="0.3"/>
    <row r="704" ht="22.05" customHeight="1" x14ac:dyDescent="0.3"/>
    <row r="705" ht="22.05" customHeight="1" x14ac:dyDescent="0.3"/>
    <row r="706" ht="22.05" customHeight="1" x14ac:dyDescent="0.3"/>
    <row r="707" ht="22.05" customHeight="1" x14ac:dyDescent="0.3"/>
    <row r="708" ht="22.05" customHeight="1" x14ac:dyDescent="0.3"/>
    <row r="709" ht="22.05" customHeight="1" x14ac:dyDescent="0.3"/>
    <row r="710" ht="22.05" customHeight="1" x14ac:dyDescent="0.3"/>
    <row r="711" ht="22.05" customHeight="1" x14ac:dyDescent="0.3"/>
    <row r="712" ht="22.05" customHeight="1" x14ac:dyDescent="0.3"/>
    <row r="713" ht="22.05" customHeight="1" x14ac:dyDescent="0.3"/>
    <row r="714" ht="22.05" customHeight="1" x14ac:dyDescent="0.3"/>
    <row r="715" ht="22.05" customHeight="1" x14ac:dyDescent="0.3"/>
    <row r="716" ht="22.05" customHeight="1" x14ac:dyDescent="0.3"/>
    <row r="717" ht="22.05" customHeight="1" x14ac:dyDescent="0.3"/>
    <row r="718" ht="22.05" customHeight="1" x14ac:dyDescent="0.3"/>
    <row r="719" ht="22.05" customHeight="1" x14ac:dyDescent="0.3"/>
    <row r="720" ht="22.05" customHeight="1" x14ac:dyDescent="0.3"/>
    <row r="721" ht="22.05" customHeight="1" x14ac:dyDescent="0.3"/>
    <row r="722" ht="22.05" customHeight="1" x14ac:dyDescent="0.3"/>
    <row r="723" ht="22.05" customHeight="1" x14ac:dyDescent="0.3"/>
    <row r="724" ht="22.05" customHeight="1" x14ac:dyDescent="0.3"/>
    <row r="725" ht="22.05" customHeight="1" x14ac:dyDescent="0.3"/>
    <row r="726" ht="22.05" customHeight="1" x14ac:dyDescent="0.3"/>
    <row r="727" ht="22.05" customHeight="1" x14ac:dyDescent="0.3"/>
    <row r="728" ht="22.05" customHeight="1" x14ac:dyDescent="0.3"/>
    <row r="729" ht="22.05" customHeight="1" x14ac:dyDescent="0.3"/>
    <row r="730" ht="22.05" customHeight="1" x14ac:dyDescent="0.3"/>
    <row r="731" ht="22.05" customHeight="1" x14ac:dyDescent="0.3"/>
    <row r="732" ht="22.05" customHeight="1" x14ac:dyDescent="0.3"/>
    <row r="733" ht="22.05" customHeight="1" x14ac:dyDescent="0.3"/>
    <row r="734" ht="22.05" customHeight="1" x14ac:dyDescent="0.3"/>
    <row r="735" ht="22.05" customHeight="1" x14ac:dyDescent="0.3"/>
    <row r="736" ht="22.05" customHeight="1" x14ac:dyDescent="0.3"/>
    <row r="737" ht="22.05" customHeight="1" x14ac:dyDescent="0.3"/>
    <row r="738" ht="22.05" customHeight="1" x14ac:dyDescent="0.3"/>
    <row r="739" ht="22.05" customHeight="1" x14ac:dyDescent="0.3"/>
    <row r="740" ht="22.05" customHeight="1" x14ac:dyDescent="0.3"/>
    <row r="741" ht="22.05" customHeight="1" x14ac:dyDescent="0.3"/>
    <row r="742" ht="22.05" customHeight="1" x14ac:dyDescent="0.3"/>
    <row r="743" ht="22.05" customHeight="1" x14ac:dyDescent="0.3"/>
    <row r="744" ht="22.05" customHeight="1" x14ac:dyDescent="0.3"/>
    <row r="745" ht="22.05" customHeight="1" x14ac:dyDescent="0.3"/>
    <row r="746" ht="22.05" customHeight="1" x14ac:dyDescent="0.3"/>
    <row r="747" ht="22.05" customHeight="1" x14ac:dyDescent="0.3"/>
    <row r="748" ht="22.05" customHeight="1" x14ac:dyDescent="0.3"/>
    <row r="749" ht="22.05" customHeight="1" x14ac:dyDescent="0.3"/>
    <row r="750" ht="22.05" customHeight="1" x14ac:dyDescent="0.3"/>
    <row r="751" ht="22.05" customHeight="1" x14ac:dyDescent="0.3"/>
    <row r="752" ht="22.0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6:F6" xr:uid="{00000000-0009-0000-0000-000001000000}"/>
  <mergeCells count="3">
    <mergeCell ref="AL5:AL6"/>
    <mergeCell ref="AM5:AM6"/>
    <mergeCell ref="AN5:AN6"/>
  </mergeCells>
  <conditionalFormatting sqref="C7:C36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2026-07-14T09:08:20Z</dcterms:modified>
</cp:coreProperties>
</file>