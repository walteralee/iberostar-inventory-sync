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traccion" sheetId="1" state="visible" r:id="rId1"/>
  </sheets>
  <definedNames>
    <definedName name="_xlnm._FilterDatabase" localSheetId="0" hidden="1">'extraccion'!$A$6:$F$6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color theme="1"/>
      <sz val="11"/>
      <scheme val="minor"/>
    </font>
    <font>
      <name val="Calibri"/>
      <b val="1"/>
      <color rgb="FF333399"/>
      <sz val="18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color theme="1"/>
      <sz val="11"/>
    </font>
    <font>
      <name val="Calibri"/>
      <color theme="1"/>
      <sz val="7"/>
    </font>
    <font>
      <name val="Calibri"/>
      <sz val="11"/>
    </font>
    <font>
      <name val="Arial Black"/>
      <b val="1"/>
      <color theme="1"/>
      <sz val="11"/>
    </font>
    <font>
      <name val="Arial Black"/>
      <b val="1"/>
      <color theme="1"/>
      <sz val="7"/>
    </font>
    <font>
      <name val="Arial Black"/>
      <b val="1"/>
      <color theme="1"/>
      <sz val="8"/>
    </font>
    <font>
      <name val="Calibri"/>
      <b val="1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6"/>
      <scheme val="minor"/>
    </font>
  </fonts>
  <fills count="9">
    <fill>
      <patternFill/>
    </fill>
    <fill>
      <patternFill patternType="gray125"/>
    </fill>
    <fill>
      <patternFill patternType="solid">
        <fgColor rgb="FF002855"/>
        <bgColor rgb="FF002855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E59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4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4" fontId="4" fillId="3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4" fontId="1" fillId="8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2" fontId="12" fillId="4" borderId="1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2" fontId="9" fillId="5" borderId="10" applyAlignment="1" pivotButton="0" quotePrefix="0" xfId="0">
      <alignment horizontal="center" vertical="center"/>
    </xf>
    <xf numFmtId="2" fontId="9" fillId="5" borderId="9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129540</colOff>
      <row>0</row>
      <rowOff>0</rowOff>
    </from>
    <ext cx="510540" cy="541020"/>
    <pic>
      <nvPicPr>
        <cNvPr id="3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129540" y="0"/>
          <a:ext cx="510540" cy="54102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220"/>
  <sheetViews>
    <sheetView tabSelected="1" topLeftCell="A184" zoomScale="70" zoomScaleNormal="70" workbookViewId="0">
      <pane xSplit="6" topLeftCell="G1" activePane="topRight" state="frozen"/>
      <selection pane="topRight" activeCell="F200" sqref="F200"/>
    </sheetView>
  </sheetViews>
  <sheetFormatPr baseColWidth="10" defaultColWidth="14.44140625" defaultRowHeight="15" customHeight="1"/>
  <cols>
    <col width="10.77734375" customWidth="1" style="1" min="1" max="1"/>
    <col width="60.77734375" customWidth="1" style="1" min="2" max="2"/>
    <col width="15.77734375" customWidth="1" style="1" min="3" max="6"/>
    <col width="5.77734375" customWidth="1" style="1" min="7" max="37"/>
    <col width="25.77734375" customWidth="1" style="1" min="38" max="38"/>
    <col width="40.77734375" customWidth="1" style="1" min="39" max="39"/>
    <col width="15.77734375" customWidth="1" style="1" min="40" max="40"/>
    <col width="14.44140625" customWidth="1" style="1" min="41" max="16384"/>
  </cols>
  <sheetData>
    <row r="1" ht="25.05" customHeight="1">
      <c r="E1" s="2" t="n"/>
      <c r="F1" s="2" t="n"/>
    </row>
    <row r="2" ht="25.05" customHeight="1">
      <c r="E2" s="2" t="n"/>
      <c r="F2" s="2" t="n"/>
    </row>
    <row r="3" ht="25.05" customHeight="1">
      <c r="E3" s="2" t="n"/>
      <c r="F3" s="2" t="n"/>
    </row>
    <row r="4" ht="25.05" customHeight="1">
      <c r="B4" s="14" t="inlineStr">
        <is>
          <t>BAR SALON</t>
        </is>
      </c>
      <c r="E4" s="2" t="n"/>
      <c r="F4" s="2" t="n"/>
      <c r="H4" s="19" t="n"/>
    </row>
    <row r="5" ht="25.05" customHeight="1">
      <c r="E5" s="2" t="n"/>
      <c r="F5" s="2" t="n"/>
      <c r="G5" s="15" t="inlineStr">
        <is>
          <t>X</t>
        </is>
      </c>
      <c r="H5" s="15" t="inlineStr">
        <is>
          <t>J</t>
        </is>
      </c>
      <c r="I5" s="15" t="inlineStr">
        <is>
          <t>V</t>
        </is>
      </c>
      <c r="J5" s="16" t="inlineStr">
        <is>
          <t>S</t>
        </is>
      </c>
      <c r="K5" s="16" t="inlineStr">
        <is>
          <t>D</t>
        </is>
      </c>
      <c r="L5" s="17" t="inlineStr">
        <is>
          <t>L</t>
        </is>
      </c>
      <c r="M5" s="15" t="inlineStr">
        <is>
          <t>M</t>
        </is>
      </c>
      <c r="N5" s="15" t="inlineStr">
        <is>
          <t>X</t>
        </is>
      </c>
      <c r="O5" s="15" t="inlineStr">
        <is>
          <t>J</t>
        </is>
      </c>
      <c r="P5" s="15" t="inlineStr">
        <is>
          <t>V</t>
        </is>
      </c>
      <c r="Q5" s="16" t="inlineStr">
        <is>
          <t>S</t>
        </is>
      </c>
      <c r="R5" s="16" t="inlineStr">
        <is>
          <t>D</t>
        </is>
      </c>
      <c r="S5" s="17" t="inlineStr">
        <is>
          <t>L</t>
        </is>
      </c>
      <c r="T5" s="15" t="inlineStr">
        <is>
          <t>M</t>
        </is>
      </c>
      <c r="U5" s="15" t="inlineStr">
        <is>
          <t>X</t>
        </is>
      </c>
      <c r="V5" s="15" t="inlineStr">
        <is>
          <t>J</t>
        </is>
      </c>
      <c r="W5" s="15" t="inlineStr">
        <is>
          <t>V</t>
        </is>
      </c>
      <c r="X5" s="16" t="inlineStr">
        <is>
          <t>S</t>
        </is>
      </c>
      <c r="Y5" s="16" t="inlineStr">
        <is>
          <t>D</t>
        </is>
      </c>
      <c r="Z5" s="17" t="inlineStr">
        <is>
          <t>L</t>
        </is>
      </c>
      <c r="AA5" s="15" t="inlineStr">
        <is>
          <t>M</t>
        </is>
      </c>
      <c r="AB5" s="15" t="inlineStr">
        <is>
          <t>X</t>
        </is>
      </c>
      <c r="AC5" s="15" t="inlineStr">
        <is>
          <t>J</t>
        </is>
      </c>
      <c r="AD5" s="15" t="inlineStr">
        <is>
          <t>V</t>
        </is>
      </c>
      <c r="AE5" s="16" t="inlineStr">
        <is>
          <t>S</t>
        </is>
      </c>
      <c r="AF5" s="16" t="inlineStr">
        <is>
          <t>D</t>
        </is>
      </c>
      <c r="AG5" s="17" t="inlineStr">
        <is>
          <t>L</t>
        </is>
      </c>
      <c r="AH5" s="15" t="inlineStr">
        <is>
          <t>M</t>
        </is>
      </c>
      <c r="AI5" s="15" t="inlineStr">
        <is>
          <t>X</t>
        </is>
      </c>
      <c r="AJ5" s="15" t="inlineStr">
        <is>
          <t>J</t>
        </is>
      </c>
      <c r="AK5" s="18" t="inlineStr">
        <is>
          <t>V</t>
        </is>
      </c>
      <c r="AL5" s="30" t="inlineStr">
        <is>
          <t>EXTRACION
  MENSUAL</t>
        </is>
      </c>
      <c r="AM5" s="31" t="inlineStr">
        <is>
          <t xml:space="preserve">suma  stok inicial
+  estracion mensual   </t>
        </is>
      </c>
      <c r="AN5" s="32" t="inlineStr">
        <is>
          <t>VALOR</t>
        </is>
      </c>
    </row>
    <row r="6" ht="25.05" customHeight="1">
      <c r="A6" s="3" t="inlineStr">
        <is>
          <t>Cód.Art.</t>
        </is>
      </c>
      <c r="B6" s="3" t="inlineStr">
        <is>
          <t>Artículo</t>
        </is>
      </c>
      <c r="C6" s="5" t="inlineStr">
        <is>
          <t>Cnt.Stk.</t>
        </is>
      </c>
      <c r="D6" s="6" t="inlineStr">
        <is>
          <t>Frm.Stk.</t>
        </is>
      </c>
      <c r="E6" s="7" t="inlineStr">
        <is>
          <t>Prc.Med.EUR</t>
        </is>
      </c>
      <c r="F6" s="7" t="inlineStr">
        <is>
          <t>Total EUR</t>
        </is>
      </c>
      <c r="G6" s="15" t="n">
        <v>1</v>
      </c>
      <c r="H6" s="15" t="n">
        <v>2</v>
      </c>
      <c r="I6" s="15" t="n">
        <v>3</v>
      </c>
      <c r="J6" s="16" t="n">
        <v>4</v>
      </c>
      <c r="K6" s="16" t="n">
        <v>5</v>
      </c>
      <c r="L6" s="15" t="n">
        <v>6</v>
      </c>
      <c r="M6" s="15" t="n">
        <v>7</v>
      </c>
      <c r="N6" s="15" t="n">
        <v>8</v>
      </c>
      <c r="O6" s="15" t="n">
        <v>9</v>
      </c>
      <c r="P6" s="15" t="n">
        <v>10</v>
      </c>
      <c r="Q6" s="16" t="n">
        <v>11</v>
      </c>
      <c r="R6" s="16" t="n">
        <v>12</v>
      </c>
      <c r="S6" s="15" t="n">
        <v>13</v>
      </c>
      <c r="T6" s="15" t="n">
        <v>14</v>
      </c>
      <c r="U6" s="15" t="n">
        <v>15</v>
      </c>
      <c r="V6" s="15" t="n">
        <v>16</v>
      </c>
      <c r="W6" s="15" t="n">
        <v>17</v>
      </c>
      <c r="X6" s="16" t="n">
        <v>18</v>
      </c>
      <c r="Y6" s="16" t="n">
        <v>19</v>
      </c>
      <c r="Z6" s="15" t="n">
        <v>20</v>
      </c>
      <c r="AA6" s="15" t="n">
        <v>21</v>
      </c>
      <c r="AB6" s="15" t="n">
        <v>22</v>
      </c>
      <c r="AC6" s="15" t="n">
        <v>23</v>
      </c>
      <c r="AD6" s="15" t="n">
        <v>24</v>
      </c>
      <c r="AE6" s="16" t="n">
        <v>25</v>
      </c>
      <c r="AF6" s="16" t="n">
        <v>26</v>
      </c>
      <c r="AG6" s="15" t="n">
        <v>27</v>
      </c>
      <c r="AH6" s="15" t="n">
        <v>28</v>
      </c>
      <c r="AI6" s="15" t="n">
        <v>29</v>
      </c>
      <c r="AJ6" s="15" t="n">
        <v>30</v>
      </c>
      <c r="AK6" s="18" t="n">
        <v>31</v>
      </c>
      <c r="AL6" s="33" t="n"/>
      <c r="AM6" s="33" t="n"/>
      <c r="AN6" s="34" t="n"/>
    </row>
    <row r="7" ht="25.05" customHeight="1">
      <c r="A7" s="4" t="n">
        <v>30756</v>
      </c>
      <c r="B7" s="4" t="inlineStr">
        <is>
          <t>AZUCAR TERRON BLANCO 4 GR</t>
        </is>
      </c>
      <c r="C7" s="8" t="n">
        <v>0</v>
      </c>
      <c r="D7" s="9" t="inlineStr">
        <is>
          <t>UNIDAD</t>
        </is>
      </c>
      <c r="E7" s="10" t="n">
        <v>0.01037</v>
      </c>
      <c r="F7" s="13">
        <f>C7*E7</f>
        <v/>
      </c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1">
        <f>SUM(G7:AK7)</f>
        <v/>
      </c>
      <c r="AM7" s="22">
        <f>SUM(C7,AL7)</f>
        <v/>
      </c>
      <c r="AN7" s="23">
        <f>E7*AM7</f>
        <v/>
      </c>
    </row>
    <row r="8" ht="25.05" customHeight="1">
      <c r="A8" s="4" t="n">
        <v>14279</v>
      </c>
      <c r="B8" s="4" t="inlineStr">
        <is>
          <t>AZUCAR TERRON MORENO 4 GR</t>
        </is>
      </c>
      <c r="C8" s="8" t="n">
        <v>0</v>
      </c>
      <c r="D8" s="9" t="inlineStr">
        <is>
          <t>UNIDAD</t>
        </is>
      </c>
      <c r="E8" s="10" t="n">
        <v>0.0115</v>
      </c>
      <c r="F8" s="13">
        <f>C8*E8</f>
        <v/>
      </c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1">
        <f>SUM(G8:AK8)</f>
        <v/>
      </c>
      <c r="AM8" s="22">
        <f>SUM(C8,AL8)</f>
        <v/>
      </c>
      <c r="AN8" s="23">
        <f>E8*AM8</f>
        <v/>
      </c>
    </row>
    <row r="9" ht="25.05" customHeight="1">
      <c r="A9" s="4" t="n">
        <v>24274</v>
      </c>
      <c r="B9" s="4" t="inlineStr">
        <is>
          <t>EDULCORANTE PASTILLAS 650 UD</t>
        </is>
      </c>
      <c r="C9" s="8" t="n">
        <v>0</v>
      </c>
      <c r="D9" s="9" t="inlineStr">
        <is>
          <t>UNIDAD</t>
        </is>
      </c>
      <c r="E9" s="10" t="n">
        <v>1.371</v>
      </c>
      <c r="F9" s="13">
        <f>C9*E9</f>
        <v/>
      </c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1">
        <f>SUM(G9:AK9)</f>
        <v/>
      </c>
      <c r="AM9" s="22">
        <f>SUM(C9,AL9)</f>
        <v/>
      </c>
      <c r="AN9" s="23">
        <f>E9*AM9</f>
        <v/>
      </c>
    </row>
    <row r="10" ht="25.05" customHeight="1">
      <c r="A10" s="4" t="n">
        <v>4223</v>
      </c>
      <c r="B10" s="4" t="inlineStr">
        <is>
          <t>CHOCOLATE MAQUINA 1 KG</t>
        </is>
      </c>
      <c r="C10" s="8" t="n">
        <v>0</v>
      </c>
      <c r="D10" s="9" t="inlineStr">
        <is>
          <t>PAQUETE</t>
        </is>
      </c>
      <c r="E10" s="10" t="n">
        <v>9.369999</v>
      </c>
      <c r="F10" s="13">
        <f>C10*E10</f>
        <v/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1">
        <f>SUM(G10:AK10)</f>
        <v/>
      </c>
      <c r="AM10" s="22">
        <f>SUM(C10,AL10)</f>
        <v/>
      </c>
      <c r="AN10" s="23">
        <f>E10*AM10</f>
        <v/>
      </c>
    </row>
    <row r="11" ht="25.05" customHeight="1">
      <c r="A11" s="4" t="n">
        <v>26384</v>
      </c>
      <c r="B11" s="4" t="inlineStr">
        <is>
          <t>PAJITA BAR COMESTIBLE SABOR LIMON 0.8X19 CM 100 UDS</t>
        </is>
      </c>
      <c r="C11" s="8" t="n">
        <v>0</v>
      </c>
      <c r="D11" s="9" t="inlineStr">
        <is>
          <t>PAQUETE</t>
        </is>
      </c>
      <c r="E11" s="10" t="n">
        <v>12.105</v>
      </c>
      <c r="F11" s="13">
        <f>C11*E11</f>
        <v/>
      </c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1">
        <f>SUM(G11:AK11)</f>
        <v/>
      </c>
      <c r="AM11" s="22">
        <f>SUM(C11,AL11)</f>
        <v/>
      </c>
      <c r="AN11" s="23">
        <f>E11*AM11</f>
        <v/>
      </c>
    </row>
    <row r="12" ht="25.05" customHeight="1">
      <c r="A12" s="4" t="n">
        <v>4835</v>
      </c>
      <c r="B12" s="4" t="inlineStr">
        <is>
          <t>BEBIDA SOJA ORIGINAL 100 CL</t>
        </is>
      </c>
      <c r="C12" s="8" t="n">
        <v>0</v>
      </c>
      <c r="D12" s="9" t="inlineStr">
        <is>
          <t>BRIK</t>
        </is>
      </c>
      <c r="E12" s="10" t="n">
        <v>1.006493</v>
      </c>
      <c r="F12" s="13">
        <f>C12*E12</f>
        <v/>
      </c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1">
        <f>SUM(G12:AK12)</f>
        <v/>
      </c>
      <c r="AM12" s="22">
        <f>SUM(C12,AL12)</f>
        <v/>
      </c>
      <c r="AN12" s="23">
        <f>E12*AM12</f>
        <v/>
      </c>
    </row>
    <row r="13" ht="25.05" customHeight="1">
      <c r="A13" s="4" t="n">
        <v>4066</v>
      </c>
      <c r="B13" s="4" t="inlineStr">
        <is>
          <t>LIMA</t>
        </is>
      </c>
      <c r="C13" s="8" t="n">
        <v>0</v>
      </c>
      <c r="D13" s="9" t="inlineStr">
        <is>
          <t>KILO</t>
        </is>
      </c>
      <c r="E13" s="10" t="n">
        <v>3.2</v>
      </c>
      <c r="F13" s="13">
        <f>C13*E13</f>
        <v/>
      </c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1">
        <f>SUM(G13:AK13)</f>
        <v/>
      </c>
      <c r="AM13" s="22">
        <f>SUM(C13,AL13)</f>
        <v/>
      </c>
      <c r="AN13" s="23">
        <f>E13*AM13</f>
        <v/>
      </c>
    </row>
    <row r="14" ht="25.05" customHeight="1">
      <c r="A14" s="4" t="n">
        <v>9558</v>
      </c>
      <c r="B14" s="4" t="inlineStr">
        <is>
          <t>LIMONES 1ª</t>
        </is>
      </c>
      <c r="C14" s="8" t="n">
        <v>0</v>
      </c>
      <c r="D14" s="9" t="inlineStr">
        <is>
          <t>KILO</t>
        </is>
      </c>
      <c r="E14" s="10" t="n">
        <v>2</v>
      </c>
      <c r="F14" s="13">
        <f>C14*E14</f>
        <v/>
      </c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1">
        <f>SUM(G14:AK14)</f>
        <v/>
      </c>
      <c r="AM14" s="22">
        <f>SUM(C14,AL14)</f>
        <v/>
      </c>
      <c r="AN14" s="23">
        <f>E14*AM14</f>
        <v/>
      </c>
    </row>
    <row r="15" ht="25.05" customHeight="1">
      <c r="A15" s="4" t="n">
        <v>1865</v>
      </c>
      <c r="B15" s="4" t="inlineStr">
        <is>
          <t>NARANJA ZUMO</t>
        </is>
      </c>
      <c r="C15" s="8" t="n">
        <v>0</v>
      </c>
      <c r="D15" s="9" t="inlineStr">
        <is>
          <t>KILO</t>
        </is>
      </c>
      <c r="E15" s="10" t="n">
        <v>0.95</v>
      </c>
      <c r="F15" s="13">
        <f>C15*E15</f>
        <v/>
      </c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1">
        <f>SUM(G15:AK15)</f>
        <v/>
      </c>
      <c r="AM15" s="22">
        <f>SUM(C15,AL15)</f>
        <v/>
      </c>
      <c r="AN15" s="23">
        <f>E15*AM15</f>
        <v/>
      </c>
    </row>
    <row r="16" ht="25.05" customHeight="1">
      <c r="A16" s="4" t="n">
        <v>1878</v>
      </c>
      <c r="B16" s="4" t="inlineStr">
        <is>
          <t>APIO BLANCO MANOJO</t>
        </is>
      </c>
      <c r="C16" s="8" t="n">
        <v>0</v>
      </c>
      <c r="D16" s="9" t="inlineStr">
        <is>
          <t>MANOJO</t>
        </is>
      </c>
      <c r="E16" s="10" t="n">
        <v>1.05</v>
      </c>
      <c r="F16" s="13">
        <f>C16*E16</f>
        <v/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1">
        <f>SUM(G16:AK16)</f>
        <v/>
      </c>
      <c r="AM16" s="22">
        <f>SUM(C16,AL16)</f>
        <v/>
      </c>
      <c r="AN16" s="23">
        <f>E16*AM16</f>
        <v/>
      </c>
    </row>
    <row r="17" ht="25.05" customHeight="1">
      <c r="A17" s="4" t="n">
        <v>1026</v>
      </c>
      <c r="B17" s="4" t="inlineStr">
        <is>
          <t>HIERBABUENA MANOJO</t>
        </is>
      </c>
      <c r="C17" s="8" t="n">
        <v>0</v>
      </c>
      <c r="D17" s="9" t="inlineStr">
        <is>
          <t>MANOJO</t>
        </is>
      </c>
      <c r="E17" s="10" t="n">
        <v>2.25</v>
      </c>
      <c r="F17" s="13">
        <f>C17*E17</f>
        <v/>
      </c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1">
        <f>SUM(G17:AK17)</f>
        <v/>
      </c>
      <c r="AM17" s="22">
        <f>SUM(C17,AL17)</f>
        <v/>
      </c>
      <c r="AN17" s="23">
        <f>E17*AM17</f>
        <v/>
      </c>
    </row>
    <row r="18" ht="25.05" customHeight="1">
      <c r="A18" s="4" t="n">
        <v>1008</v>
      </c>
      <c r="B18" s="4" t="inlineStr">
        <is>
          <t>LIMONES EXTRA</t>
        </is>
      </c>
      <c r="C18" s="8" t="n">
        <v>0</v>
      </c>
      <c r="D18" s="9" t="inlineStr">
        <is>
          <t>KILO</t>
        </is>
      </c>
      <c r="E18" s="10" t="n">
        <v>2</v>
      </c>
      <c r="F18" s="13">
        <f>C18*E18</f>
        <v/>
      </c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1">
        <f>SUM(G18:AK18)</f>
        <v/>
      </c>
      <c r="AM18" s="22">
        <f>SUM(C18,AL18)</f>
        <v/>
      </c>
      <c r="AN18" s="23">
        <f>E18*AM18</f>
        <v/>
      </c>
    </row>
    <row r="19" ht="25.05" customHeight="1">
      <c r="A19" s="4" t="n">
        <v>4740</v>
      </c>
      <c r="B19" s="4" t="inlineStr">
        <is>
          <t>ALMENDRA REPELADA FRITA</t>
        </is>
      </c>
      <c r="C19" s="8" t="n">
        <v>0</v>
      </c>
      <c r="D19" s="9" t="inlineStr">
        <is>
          <t>KILO</t>
        </is>
      </c>
      <c r="E19" s="10" t="n">
        <v>9.438000000000001</v>
      </c>
      <c r="F19" s="13">
        <f>C19*E19</f>
        <v/>
      </c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1">
        <f>SUM(G19:AK19)</f>
        <v/>
      </c>
      <c r="AM19" s="22">
        <f>SUM(C19,AL19)</f>
        <v/>
      </c>
      <c r="AN19" s="23">
        <f>E19*AM19</f>
        <v/>
      </c>
    </row>
    <row r="20" ht="25.05" customHeight="1">
      <c r="A20" s="4" t="n">
        <v>24846</v>
      </c>
      <c r="B20" s="4" t="inlineStr">
        <is>
          <t>CACAHUETE CHOCOLATEADO</t>
        </is>
      </c>
      <c r="C20" s="8" t="n">
        <v>0</v>
      </c>
      <c r="D20" s="9" t="inlineStr">
        <is>
          <t>KILO</t>
        </is>
      </c>
      <c r="E20" s="10" t="n">
        <v>9.9</v>
      </c>
      <c r="F20" s="13">
        <f>C20*E20</f>
        <v/>
      </c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1">
        <f>SUM(G20:AK20)</f>
        <v/>
      </c>
      <c r="AM20" s="22">
        <f>SUM(C20,AL20)</f>
        <v/>
      </c>
      <c r="AN20" s="23">
        <f>E20*AM20</f>
        <v/>
      </c>
    </row>
    <row r="21" ht="25.05" customHeight="1">
      <c r="A21" s="4" t="n">
        <v>3022</v>
      </c>
      <c r="B21" s="4" t="inlineStr">
        <is>
          <t>CACAHUETE REPELADO</t>
        </is>
      </c>
      <c r="C21" s="8" t="n">
        <v>0</v>
      </c>
      <c r="D21" s="9" t="inlineStr">
        <is>
          <t>KILO</t>
        </is>
      </c>
      <c r="E21" s="10" t="n">
        <v>3.3</v>
      </c>
      <c r="F21" s="13">
        <f>C21*E21</f>
        <v/>
      </c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1">
        <f>SUM(G21:AK21)</f>
        <v/>
      </c>
      <c r="AM21" s="22">
        <f>SUM(C21,AL21)</f>
        <v/>
      </c>
      <c r="AN21" s="23">
        <f>E21*AM21</f>
        <v/>
      </c>
    </row>
    <row r="22" ht="25.05" customHeight="1">
      <c r="A22" s="4" t="n">
        <v>15647</v>
      </c>
      <c r="B22" s="4" t="inlineStr">
        <is>
          <t>CACAHUETES GARRAPIÑADOS</t>
        </is>
      </c>
      <c r="C22" s="8" t="n">
        <v>0</v>
      </c>
      <c r="D22" s="9" t="inlineStr">
        <is>
          <t>KILO</t>
        </is>
      </c>
      <c r="E22" s="10" t="n">
        <v>7.161</v>
      </c>
      <c r="F22" s="13">
        <f>C22*E22</f>
        <v/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1">
        <f>SUM(G22:AK22)</f>
        <v/>
      </c>
      <c r="AM22" s="22">
        <f>SUM(C22,AL22)</f>
        <v/>
      </c>
      <c r="AN22" s="23">
        <f>E22*AM22</f>
        <v/>
      </c>
    </row>
    <row r="23" ht="25.05" customHeight="1">
      <c r="A23" s="4" t="n">
        <v>572</v>
      </c>
      <c r="B23" s="4" t="inlineStr">
        <is>
          <t>CACAHUETES SALADOS REPELADOS</t>
        </is>
      </c>
      <c r="C23" s="8" t="n">
        <v>0</v>
      </c>
      <c r="D23" s="9" t="inlineStr">
        <is>
          <t>KILO</t>
        </is>
      </c>
      <c r="E23" s="10" t="n">
        <v>2.508</v>
      </c>
      <c r="F23" s="13">
        <f>C23*E23</f>
        <v/>
      </c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1">
        <f>SUM(G23:AK23)</f>
        <v/>
      </c>
      <c r="AM23" s="22">
        <f>SUM(C23,AL23)</f>
        <v/>
      </c>
      <c r="AN23" s="23">
        <f>E23*AM23</f>
        <v/>
      </c>
    </row>
    <row r="24" ht="25.05" customHeight="1">
      <c r="A24" s="4" t="n">
        <v>26296</v>
      </c>
      <c r="B24" s="4" t="inlineStr">
        <is>
          <t>LIMA DESHIDRATADA RODAJAS</t>
        </is>
      </c>
      <c r="C24" s="8" t="n">
        <v>0</v>
      </c>
      <c r="D24" s="9" t="inlineStr">
        <is>
          <t>KILO</t>
        </is>
      </c>
      <c r="E24" s="10" t="n">
        <v>40.6</v>
      </c>
      <c r="F24" s="13">
        <f>C24*E24</f>
        <v/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1">
        <f>SUM(G24:AK24)</f>
        <v/>
      </c>
      <c r="AM24" s="22">
        <f>SUM(C24,AL24)</f>
        <v/>
      </c>
      <c r="AN24" s="23">
        <f>E24*AM24</f>
        <v/>
      </c>
    </row>
    <row r="25" ht="25.05" customHeight="1">
      <c r="A25" s="4" t="n">
        <v>26297</v>
      </c>
      <c r="B25" s="4" t="inlineStr">
        <is>
          <t>LIMON DESHIDRATADO RODAJAS</t>
        </is>
      </c>
      <c r="C25" s="8" t="n">
        <v>0</v>
      </c>
      <c r="D25" s="9" t="inlineStr">
        <is>
          <t>KILO</t>
        </is>
      </c>
      <c r="E25" s="10" t="n">
        <v>37.9</v>
      </c>
      <c r="F25" s="13">
        <f>C25*E25</f>
        <v/>
      </c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1">
        <f>SUM(G25:AK25)</f>
        <v/>
      </c>
      <c r="AM25" s="22">
        <f>SUM(C25,AL25)</f>
        <v/>
      </c>
      <c r="AN25" s="23">
        <f>E25*AM25</f>
        <v/>
      </c>
    </row>
    <row r="26" ht="25.05" customHeight="1">
      <c r="A26" s="4" t="n">
        <v>2109</v>
      </c>
      <c r="B26" s="4" t="inlineStr">
        <is>
          <t>MEZCLA FRUTOS SECOS</t>
        </is>
      </c>
      <c r="C26" s="8" t="n">
        <v>0</v>
      </c>
      <c r="D26" s="9" t="inlineStr">
        <is>
          <t>KILO</t>
        </is>
      </c>
      <c r="E26" s="10" t="n">
        <v>3.036</v>
      </c>
      <c r="F26" s="13">
        <f>C26*E26</f>
        <v/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1">
        <f>SUM(G26:AK26)</f>
        <v/>
      </c>
      <c r="AM26" s="22">
        <f>SUM(C26,AL26)</f>
        <v/>
      </c>
      <c r="AN26" s="23">
        <f>E26*AM26</f>
        <v/>
      </c>
    </row>
    <row r="27" ht="25.05" customHeight="1">
      <c r="A27" s="4" t="n">
        <v>11923</v>
      </c>
      <c r="B27" s="4" t="inlineStr">
        <is>
          <t>NARANJA DESHIDRATADA</t>
        </is>
      </c>
      <c r="C27" s="8" t="n">
        <v>0</v>
      </c>
      <c r="D27" s="9" t="inlineStr">
        <is>
          <t>KILO</t>
        </is>
      </c>
      <c r="E27" s="10" t="n">
        <v>34.4</v>
      </c>
      <c r="F27" s="13">
        <f>C27*E27</f>
        <v/>
      </c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1">
        <f>SUM(G27:AK27)</f>
        <v/>
      </c>
      <c r="AM27" s="22">
        <f>SUM(C27,AL27)</f>
        <v/>
      </c>
      <c r="AN27" s="23">
        <f>E27*AM27</f>
        <v/>
      </c>
    </row>
    <row r="28" ht="25.05" customHeight="1">
      <c r="A28" s="4" t="n">
        <v>9192</v>
      </c>
      <c r="B28" s="4" t="inlineStr">
        <is>
          <t>PAPAYA FILETEADA</t>
        </is>
      </c>
      <c r="C28" s="8" t="n">
        <v>0</v>
      </c>
      <c r="D28" s="9" t="inlineStr">
        <is>
          <t>KILO</t>
        </is>
      </c>
      <c r="E28" s="10" t="n">
        <v>5.577</v>
      </c>
      <c r="F28" s="13">
        <f>C28*E28</f>
        <v/>
      </c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1">
        <f>SUM(G28:AK28)</f>
        <v/>
      </c>
      <c r="AM28" s="22">
        <f>SUM(C28,AL28)</f>
        <v/>
      </c>
      <c r="AN28" s="23">
        <f>E28*AM28</f>
        <v/>
      </c>
    </row>
    <row r="29" ht="25.05" customHeight="1">
      <c r="A29" s="4" t="n">
        <v>9193</v>
      </c>
      <c r="B29" s="4" t="inlineStr">
        <is>
          <t>PIÑA DADOS 8/10</t>
        </is>
      </c>
      <c r="C29" s="8" t="n">
        <v>0</v>
      </c>
      <c r="D29" s="9" t="inlineStr">
        <is>
          <t>KILO</t>
        </is>
      </c>
      <c r="E29" s="10" t="n">
        <v>6.533681</v>
      </c>
      <c r="F29" s="13">
        <f>C29*E29</f>
        <v/>
      </c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1">
        <f>SUM(G29:AK29)</f>
        <v/>
      </c>
      <c r="AM29" s="22">
        <f>SUM(C29,AL29)</f>
        <v/>
      </c>
      <c r="AN29" s="23">
        <f>E29*AM29</f>
        <v/>
      </c>
    </row>
    <row r="30" ht="25.05" customHeight="1">
      <c r="A30" s="4" t="n">
        <v>25822</v>
      </c>
      <c r="B30" s="4" t="inlineStr">
        <is>
          <t>PIÑA DESHIDRATADA</t>
        </is>
      </c>
      <c r="C30" s="8" t="n">
        <v>0</v>
      </c>
      <c r="D30" s="9" t="inlineStr">
        <is>
          <t>KILO</t>
        </is>
      </c>
      <c r="E30" s="10" t="n">
        <v>59.7</v>
      </c>
      <c r="F30" s="13">
        <f>C30*E30</f>
        <v/>
      </c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1">
        <f>SUM(G30:AK30)</f>
        <v/>
      </c>
      <c r="AM30" s="22">
        <f>SUM(C30,AL30)</f>
        <v/>
      </c>
      <c r="AN30" s="23">
        <f>E30*AM30</f>
        <v/>
      </c>
    </row>
    <row r="31" ht="25.05" customHeight="1">
      <c r="A31" s="4" t="n">
        <v>3160</v>
      </c>
      <c r="B31" s="4" t="inlineStr">
        <is>
          <t>PIÑONES FRUTOS SECOS</t>
        </is>
      </c>
      <c r="C31" s="8" t="n">
        <v>0</v>
      </c>
      <c r="D31" s="9" t="inlineStr">
        <is>
          <t>KILO</t>
        </is>
      </c>
      <c r="E31" s="10" t="n">
        <v>25.9656</v>
      </c>
      <c r="F31" s="13">
        <f>C31*E31</f>
        <v/>
      </c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1">
        <f>SUM(G31:AK31)</f>
        <v/>
      </c>
      <c r="AM31" s="22">
        <f>SUM(C31,AL31)</f>
        <v/>
      </c>
      <c r="AN31" s="23">
        <f>E31*AM31</f>
        <v/>
      </c>
    </row>
    <row r="32" ht="25.05" customHeight="1">
      <c r="A32" s="4" t="n">
        <v>6976</v>
      </c>
      <c r="B32" s="4" t="inlineStr">
        <is>
          <t>PLATANO SECO</t>
        </is>
      </c>
      <c r="C32" s="8" t="n">
        <v>0</v>
      </c>
      <c r="D32" s="9" t="inlineStr">
        <is>
          <t>KILO</t>
        </is>
      </c>
      <c r="E32" s="10" t="n">
        <v>3.54804</v>
      </c>
      <c r="F32" s="13">
        <f>C32*E32</f>
        <v/>
      </c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1">
        <f>SUM(G32:AK32)</f>
        <v/>
      </c>
      <c r="AM32" s="22">
        <f>SUM(C32,AL32)</f>
        <v/>
      </c>
      <c r="AN32" s="23">
        <f>E32*AM32</f>
        <v/>
      </c>
    </row>
    <row r="33" ht="25.05" customHeight="1">
      <c r="A33" s="4" t="n">
        <v>26298</v>
      </c>
      <c r="B33" s="4" t="inlineStr">
        <is>
          <t>POMELO DESHIDRATADO RODAJAS</t>
        </is>
      </c>
      <c r="C33" s="8" t="n">
        <v>0</v>
      </c>
      <c r="D33" s="9" t="inlineStr">
        <is>
          <t>KILO</t>
        </is>
      </c>
      <c r="E33" s="10" t="n">
        <v>42.05</v>
      </c>
      <c r="F33" s="13">
        <f>C33*E33</f>
        <v/>
      </c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1">
        <f>SUM(G33:AK33)</f>
        <v/>
      </c>
      <c r="AM33" s="22">
        <f>SUM(C33,AL33)</f>
        <v/>
      </c>
      <c r="AN33" s="23">
        <f>E33*AM33</f>
        <v/>
      </c>
    </row>
    <row r="34" ht="25.05" customHeight="1">
      <c r="A34" s="4" t="n">
        <v>8376</v>
      </c>
      <c r="B34" s="4" t="inlineStr">
        <is>
          <t>CORTEZAS CERDO</t>
        </is>
      </c>
      <c r="C34" s="8" t="n">
        <v>0</v>
      </c>
      <c r="D34" s="9" t="inlineStr">
        <is>
          <t>KILO</t>
        </is>
      </c>
      <c r="E34" s="10" t="n">
        <v>7.26</v>
      </c>
      <c r="F34" s="13">
        <f>C34*E34</f>
        <v/>
      </c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1">
        <f>SUM(G34:AK34)</f>
        <v/>
      </c>
      <c r="AM34" s="22">
        <f>SUM(C34,AL34)</f>
        <v/>
      </c>
      <c r="AN34" s="23">
        <f>E34*AM34</f>
        <v/>
      </c>
    </row>
    <row r="35" ht="25.05" customHeight="1">
      <c r="A35" s="4" t="n">
        <v>26443</v>
      </c>
      <c r="B35" s="4" t="inlineStr">
        <is>
          <t>PALOMITA MAIZ 110 GR</t>
        </is>
      </c>
      <c r="C35" s="8" t="n">
        <v>0</v>
      </c>
      <c r="D35" s="9" t="inlineStr">
        <is>
          <t>BOLSA</t>
        </is>
      </c>
      <c r="E35" s="10" t="n">
        <v>0.4766</v>
      </c>
      <c r="F35" s="13">
        <f>C35*E35</f>
        <v/>
      </c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1">
        <f>SUM(G35:AK35)</f>
        <v/>
      </c>
      <c r="AM35" s="22">
        <f>SUM(C35,AL35)</f>
        <v/>
      </c>
      <c r="AN35" s="23">
        <f>E35*AM35</f>
        <v/>
      </c>
    </row>
    <row r="36" ht="25.05" customHeight="1">
      <c r="A36" s="4" t="n">
        <v>8373</v>
      </c>
      <c r="B36" s="4" t="inlineStr">
        <is>
          <t>PATATILLA BOLSA 400-500 GR</t>
        </is>
      </c>
      <c r="C36" s="8" t="n">
        <v>0</v>
      </c>
      <c r="D36" s="9" t="inlineStr">
        <is>
          <t>PAQUETE</t>
        </is>
      </c>
      <c r="E36" s="10" t="n">
        <v>2.506</v>
      </c>
      <c r="F36" s="13">
        <f>C36*E36</f>
        <v/>
      </c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1">
        <f>SUM(G36:AK36)</f>
        <v/>
      </c>
      <c r="AM36" s="22">
        <f>SUM(C36,AL36)</f>
        <v/>
      </c>
      <c r="AN36" s="23">
        <f>E36*AM36</f>
        <v/>
      </c>
    </row>
    <row r="37" ht="25.05" customHeight="1">
      <c r="A37" s="4" t="n">
        <v>26915</v>
      </c>
      <c r="B37" s="4" t="inlineStr">
        <is>
          <t>GALLETA TIPO CAMPURRIANA 600 GR</t>
        </is>
      </c>
      <c r="C37" s="8" t="n">
        <v>0</v>
      </c>
      <c r="D37" s="9" t="inlineStr">
        <is>
          <t>PAQUETE</t>
        </is>
      </c>
      <c r="E37" s="10" t="n">
        <v>3.85</v>
      </c>
      <c r="F37" s="13">
        <f>C37*E37</f>
        <v/>
      </c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1">
        <f>SUM(G37:AK37)</f>
        <v/>
      </c>
      <c r="AM37" s="22">
        <f>SUM(C37,AL37)</f>
        <v/>
      </c>
      <c r="AN37" s="23">
        <f>E37*AM37</f>
        <v/>
      </c>
    </row>
    <row r="38" ht="25.05" customHeight="1">
      <c r="A38" s="4" t="n">
        <v>11204</v>
      </c>
      <c r="B38" s="4" t="inlineStr">
        <is>
          <t>GOLOSINAS GRANEL</t>
        </is>
      </c>
      <c r="C38" s="8" t="n">
        <v>0</v>
      </c>
      <c r="D38" s="9" t="inlineStr">
        <is>
          <t>KILO</t>
        </is>
      </c>
      <c r="E38" s="10" t="n">
        <v>4.72</v>
      </c>
      <c r="F38" s="13">
        <f>C38*E38</f>
        <v/>
      </c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1">
        <f>SUM(G38:AK38)</f>
        <v/>
      </c>
      <c r="AM38" s="22">
        <f>SUM(C38,AL38)</f>
        <v/>
      </c>
      <c r="AN38" s="23">
        <f>E38*AM38</f>
        <v/>
      </c>
    </row>
    <row r="39" ht="25.05" customHeight="1">
      <c r="A39" s="4" t="n">
        <v>24683</v>
      </c>
      <c r="B39" s="4" t="inlineStr">
        <is>
          <t>BIB LECHE SEMIDESNATADA 10 LT</t>
        </is>
      </c>
      <c r="C39" s="8" t="n">
        <v>0</v>
      </c>
      <c r="D39" s="9" t="inlineStr">
        <is>
          <t>LITRO</t>
        </is>
      </c>
      <c r="E39" s="10" t="n">
        <v>0.9399999999999999</v>
      </c>
      <c r="F39" s="13">
        <f>C39*E39</f>
        <v/>
      </c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1">
        <f>SUM(G39:AK39)</f>
        <v/>
      </c>
      <c r="AM39" s="22">
        <f>SUM(C39,AL39)</f>
        <v/>
      </c>
      <c r="AN39" s="23">
        <f>E39*AM39</f>
        <v/>
      </c>
    </row>
    <row r="40" ht="25.05" customHeight="1">
      <c r="A40" s="4" t="n">
        <v>17277</v>
      </c>
      <c r="B40" s="4" t="inlineStr">
        <is>
          <t>LECHE ALMENDRA 1 LT</t>
        </is>
      </c>
      <c r="C40" s="8" t="n">
        <v>0</v>
      </c>
      <c r="D40" s="9" t="inlineStr">
        <is>
          <t>BRIK</t>
        </is>
      </c>
      <c r="E40" s="10" t="n">
        <v>1.209042</v>
      </c>
      <c r="F40" s="13">
        <f>C40*E40</f>
        <v/>
      </c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1">
        <f>SUM(G40:AK40)</f>
        <v/>
      </c>
      <c r="AM40" s="22">
        <f>SUM(C40,AL40)</f>
        <v/>
      </c>
      <c r="AN40" s="23">
        <f>E40*AM40</f>
        <v/>
      </c>
    </row>
    <row r="41" ht="25.05" customHeight="1">
      <c r="A41" s="4" t="n">
        <v>10043</v>
      </c>
      <c r="B41" s="4" t="inlineStr">
        <is>
          <t>LECHE AVENA 1 LT</t>
        </is>
      </c>
      <c r="C41" s="8" t="n">
        <v>0</v>
      </c>
      <c r="D41" s="9" t="inlineStr">
        <is>
          <t>BRIK</t>
        </is>
      </c>
      <c r="E41" s="10" t="n">
        <v>1.162183</v>
      </c>
      <c r="F41" s="13">
        <f>C41*E41</f>
        <v/>
      </c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1">
        <f>SUM(G41:AK41)</f>
        <v/>
      </c>
      <c r="AM41" s="22">
        <f>SUM(C41,AL41)</f>
        <v/>
      </c>
      <c r="AN41" s="23">
        <f>E41*AM41</f>
        <v/>
      </c>
    </row>
    <row r="42" ht="25.05" customHeight="1">
      <c r="A42" s="4" t="n">
        <v>11952</v>
      </c>
      <c r="B42" s="4" t="inlineStr">
        <is>
          <t>LECHE DESNATADA POLVO</t>
        </is>
      </c>
      <c r="C42" s="8" t="n">
        <v>0</v>
      </c>
      <c r="D42" s="9" t="inlineStr">
        <is>
          <t>KILO</t>
        </is>
      </c>
      <c r="E42" s="10" t="n">
        <v>10.87</v>
      </c>
      <c r="F42" s="13">
        <f>C42*E42</f>
        <v/>
      </c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1">
        <f>SUM(G42:AK42)</f>
        <v/>
      </c>
      <c r="AM42" s="22">
        <f>SUM(C42,AL42)</f>
        <v/>
      </c>
      <c r="AN42" s="23">
        <f>E42*AM42</f>
        <v/>
      </c>
    </row>
    <row r="43" ht="25.05" customHeight="1">
      <c r="A43" s="4" t="n">
        <v>5919</v>
      </c>
      <c r="B43" s="4" t="inlineStr">
        <is>
          <t>LECHE SEMIDESNATADA 1 LT</t>
        </is>
      </c>
      <c r="C43" s="8" t="n">
        <v>0</v>
      </c>
      <c r="D43" s="9" t="inlineStr">
        <is>
          <t>BRIK</t>
        </is>
      </c>
      <c r="E43" s="10" t="n">
        <v>0.9399999999999999</v>
      </c>
      <c r="F43" s="13">
        <f>C43*E43</f>
        <v/>
      </c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1">
        <f>SUM(G43:AK43)</f>
        <v/>
      </c>
      <c r="AM43" s="22">
        <f>SUM(C43,AL43)</f>
        <v/>
      </c>
      <c r="AN43" s="23">
        <f>E43*AM43</f>
        <v/>
      </c>
    </row>
    <row r="44" ht="25.05" customHeight="1">
      <c r="A44" s="4" t="n">
        <v>11082</v>
      </c>
      <c r="B44" s="4" t="inlineStr">
        <is>
          <t>LECHE SEMIDESNATADA SIN LACTOSA BRIK 1 LT</t>
        </is>
      </c>
      <c r="C44" s="8" t="n">
        <v>0</v>
      </c>
      <c r="D44" s="9" t="inlineStr">
        <is>
          <t>BRIK</t>
        </is>
      </c>
      <c r="E44" s="10" t="n">
        <v>1.146622</v>
      </c>
      <c r="F44" s="13">
        <f>C44*E44</f>
        <v/>
      </c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1">
        <f>SUM(G44:AK44)</f>
        <v/>
      </c>
      <c r="AM44" s="22">
        <f>SUM(C44,AL44)</f>
        <v/>
      </c>
      <c r="AN44" s="23">
        <f>E44*AM44</f>
        <v/>
      </c>
    </row>
    <row r="45" ht="25.05" customHeight="1">
      <c r="A45" s="4" t="n">
        <v>6499</v>
      </c>
      <c r="B45" s="4" t="inlineStr">
        <is>
          <t>BATIDO CACAO 20 CL</t>
        </is>
      </c>
      <c r="C45" s="8" t="n">
        <v>0</v>
      </c>
      <c r="D45" s="9" t="inlineStr">
        <is>
          <t>BOTELLA</t>
        </is>
      </c>
      <c r="E45" s="10" t="n">
        <v>0.589629</v>
      </c>
      <c r="F45" s="13">
        <f>C45*E45</f>
        <v/>
      </c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1">
        <f>SUM(G45:AK45)</f>
        <v/>
      </c>
      <c r="AM45" s="22">
        <f>SUM(C45,AL45)</f>
        <v/>
      </c>
      <c r="AN45" s="23">
        <f>E45*AM45</f>
        <v/>
      </c>
    </row>
    <row r="46" ht="25.05" customHeight="1">
      <c r="A46" s="4" t="n">
        <v>4916</v>
      </c>
      <c r="B46" s="4" t="inlineStr">
        <is>
          <t>APERITIVO AMARO RAMAZZOTTI 70 CL</t>
        </is>
      </c>
      <c r="C46" s="8" t="n">
        <v>0</v>
      </c>
      <c r="D46" s="9" t="inlineStr">
        <is>
          <t>BOTELLA</t>
        </is>
      </c>
      <c r="E46" s="10" t="n">
        <v>11.55</v>
      </c>
      <c r="F46" s="13">
        <f>C46*E46</f>
        <v/>
      </c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1">
        <f>SUM(G46:AK46)</f>
        <v/>
      </c>
      <c r="AM46" s="22">
        <f>SUM(C46,AL46)</f>
        <v/>
      </c>
      <c r="AN46" s="23">
        <f>E46*AM46</f>
        <v/>
      </c>
    </row>
    <row r="47" ht="25.05" customHeight="1">
      <c r="A47" s="4" t="n">
        <v>13385</v>
      </c>
      <c r="B47" s="4" t="inlineStr">
        <is>
          <t>APERITIVO APEROL 100 CL</t>
        </is>
      </c>
      <c r="C47" s="8" t="n">
        <v>0</v>
      </c>
      <c r="D47" s="9" t="inlineStr">
        <is>
          <t>BOTELLA</t>
        </is>
      </c>
      <c r="E47" s="10" t="n">
        <v>11.03158</v>
      </c>
      <c r="F47" s="13">
        <f>C47*E47</f>
        <v/>
      </c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1">
        <f>SUM(G47:AK47)</f>
        <v/>
      </c>
      <c r="AM47" s="22">
        <f>SUM(C47,AL47)</f>
        <v/>
      </c>
      <c r="AN47" s="23">
        <f>E47*AM47</f>
        <v/>
      </c>
    </row>
    <row r="48" ht="25.05" customHeight="1">
      <c r="A48" s="4" t="n">
        <v>1460</v>
      </c>
      <c r="B48" s="4" t="inlineStr">
        <is>
          <t>APERITIVO CAMPARI 100 CL</t>
        </is>
      </c>
      <c r="C48" s="8" t="n">
        <v>0</v>
      </c>
      <c r="D48" s="9" t="inlineStr">
        <is>
          <t>BOTELLA</t>
        </is>
      </c>
      <c r="E48" s="10" t="n">
        <v>13.999933</v>
      </c>
      <c r="F48" s="13">
        <f>C48*E48</f>
        <v/>
      </c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1">
        <f>SUM(G48:AK48)</f>
        <v/>
      </c>
      <c r="AM48" s="22">
        <f>SUM(C48,AL48)</f>
        <v/>
      </c>
      <c r="AN48" s="23">
        <f>E48*AM48</f>
        <v/>
      </c>
    </row>
    <row r="49" ht="25.05" customHeight="1">
      <c r="A49" s="4" t="n">
        <v>77</v>
      </c>
      <c r="B49" s="4" t="inlineStr">
        <is>
          <t>APERITIVO FERNET BRANCA 70 CL</t>
        </is>
      </c>
      <c r="C49" s="8" t="n">
        <v>0</v>
      </c>
      <c r="D49" s="9" t="inlineStr">
        <is>
          <t>BOTELLA</t>
        </is>
      </c>
      <c r="E49" s="10" t="n">
        <v>12.378803</v>
      </c>
      <c r="F49" s="13">
        <f>C49*E49</f>
        <v/>
      </c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1">
        <f>SUM(G49:AK49)</f>
        <v/>
      </c>
      <c r="AM49" s="22">
        <f>SUM(C49,AL49)</f>
        <v/>
      </c>
      <c r="AN49" s="23">
        <f>E49*AM49</f>
        <v/>
      </c>
    </row>
    <row r="50" ht="25.05" customHeight="1">
      <c r="A50" s="4" t="n">
        <v>93</v>
      </c>
      <c r="B50" s="4" t="inlineStr">
        <is>
          <t>APERITIVO MARTINI BLANCO DULCE 100 CL</t>
        </is>
      </c>
      <c r="C50" s="8" t="n">
        <v>0</v>
      </c>
      <c r="D50" s="9" t="inlineStr">
        <is>
          <t>BOTELLA</t>
        </is>
      </c>
      <c r="E50" s="10" t="n">
        <v>8.044036</v>
      </c>
      <c r="F50" s="13">
        <f>C50*E50</f>
        <v/>
      </c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1">
        <f>SUM(G50:AK50)</f>
        <v/>
      </c>
      <c r="AM50" s="22">
        <f>SUM(C50,AL50)</f>
        <v/>
      </c>
      <c r="AN50" s="23">
        <f>E50*AM50</f>
        <v/>
      </c>
    </row>
    <row r="51" ht="25.05" customHeight="1">
      <c r="A51" s="4" t="n">
        <v>28571</v>
      </c>
      <c r="B51" s="4" t="inlineStr">
        <is>
          <t>APERITIVO MARTINI BLANCO FLOREALE S/ALCOHOL 75 CL</t>
        </is>
      </c>
      <c r="C51" s="8" t="n">
        <v>0</v>
      </c>
      <c r="D51" s="9" t="inlineStr">
        <is>
          <t>BOTELLA</t>
        </is>
      </c>
      <c r="E51" s="10" t="n">
        <v>8.880000000000001</v>
      </c>
      <c r="F51" s="13">
        <f>C51*E51</f>
        <v/>
      </c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1">
        <f>SUM(G51:AK51)</f>
        <v/>
      </c>
      <c r="AM51" s="22">
        <f>SUM(C51,AL51)</f>
        <v/>
      </c>
      <c r="AN51" s="23">
        <f>E51*AM51</f>
        <v/>
      </c>
    </row>
    <row r="52" ht="25.05" customHeight="1">
      <c r="A52" s="4" t="n">
        <v>101</v>
      </c>
      <c r="B52" s="4" t="inlineStr">
        <is>
          <t>APERITIVO MARTINI BLANCO SECO 100 CL</t>
        </is>
      </c>
      <c r="C52" s="8" t="n">
        <v>0</v>
      </c>
      <c r="D52" s="9" t="inlineStr">
        <is>
          <t>BOTELLA</t>
        </is>
      </c>
      <c r="E52" s="10" t="n">
        <v>8.422248</v>
      </c>
      <c r="F52" s="13">
        <f>C52*E52</f>
        <v/>
      </c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1">
        <f>SUM(G52:AK52)</f>
        <v/>
      </c>
      <c r="AM52" s="22">
        <f>SUM(C52,AL52)</f>
        <v/>
      </c>
      <c r="AN52" s="23">
        <f>E52*AM52</f>
        <v/>
      </c>
    </row>
    <row r="53" ht="25.05" customHeight="1">
      <c r="A53" s="4" t="n">
        <v>99</v>
      </c>
      <c r="B53" s="4" t="inlineStr">
        <is>
          <t>APERITIVO MARTINI ROJO 100 CL</t>
        </is>
      </c>
      <c r="C53" s="8" t="n">
        <v>0</v>
      </c>
      <c r="D53" s="9" t="inlineStr">
        <is>
          <t>BOTELLA</t>
        </is>
      </c>
      <c r="E53" s="10" t="n">
        <v>8.052308</v>
      </c>
      <c r="F53" s="13">
        <f>C53*E53</f>
        <v/>
      </c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1">
        <f>SUM(G53:AK53)</f>
        <v/>
      </c>
      <c r="AM53" s="22">
        <f>SUM(C53,AL53)</f>
        <v/>
      </c>
      <c r="AN53" s="23">
        <f>E53*AM53</f>
        <v/>
      </c>
    </row>
    <row r="54" ht="25.05" customHeight="1">
      <c r="A54" s="4" t="n">
        <v>25825</v>
      </c>
      <c r="B54" s="4" t="inlineStr">
        <is>
          <t>APERITIVO MARTINI ROJO VIBRANTE S/ALCOHOL 75 CL</t>
        </is>
      </c>
      <c r="C54" s="8" t="n">
        <v>0</v>
      </c>
      <c r="D54" s="9" t="inlineStr">
        <is>
          <t>BOTELLA</t>
        </is>
      </c>
      <c r="E54" s="10" t="n">
        <v>9.50639</v>
      </c>
      <c r="F54" s="13">
        <f>C54*E54</f>
        <v/>
      </c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1">
        <f>SUM(G54:AK54)</f>
        <v/>
      </c>
      <c r="AM54" s="22">
        <f>SUM(C54,AL54)</f>
        <v/>
      </c>
      <c r="AN54" s="23">
        <f>E54*AM54</f>
        <v/>
      </c>
    </row>
    <row r="55" ht="25.05" customHeight="1">
      <c r="A55" s="4" t="n">
        <v>102</v>
      </c>
      <c r="B55" s="4" t="inlineStr">
        <is>
          <t>APERITIVO RICARD 100 CL</t>
        </is>
      </c>
      <c r="C55" s="8" t="n">
        <v>0</v>
      </c>
      <c r="D55" s="9" t="inlineStr">
        <is>
          <t>BOTELLA</t>
        </is>
      </c>
      <c r="E55" s="10" t="n">
        <v>13.62123</v>
      </c>
      <c r="F55" s="13">
        <f>C55*E55</f>
        <v/>
      </c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1">
        <f>SUM(G55:AK55)</f>
        <v/>
      </c>
      <c r="AM55" s="22">
        <f>SUM(C55,AL55)</f>
        <v/>
      </c>
      <c r="AN55" s="23">
        <f>E55*AM55</f>
        <v/>
      </c>
    </row>
    <row r="56" ht="25.05" customHeight="1">
      <c r="A56" s="4" t="n">
        <v>2133</v>
      </c>
      <c r="B56" s="4" t="inlineStr">
        <is>
          <t>VINO GEN CHICLANERO 75 CL</t>
        </is>
      </c>
      <c r="C56" s="8" t="n">
        <v>0</v>
      </c>
      <c r="D56" s="9" t="inlineStr">
        <is>
          <t>BOTELLA</t>
        </is>
      </c>
      <c r="E56" s="10" t="n">
        <v>4.897748</v>
      </c>
      <c r="F56" s="13">
        <f>C56*E56</f>
        <v/>
      </c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1">
        <f>SUM(G56:AK56)</f>
        <v/>
      </c>
      <c r="AM56" s="22">
        <f>SUM(C56,AL56)</f>
        <v/>
      </c>
      <c r="AN56" s="23">
        <f>E56*AM56</f>
        <v/>
      </c>
    </row>
    <row r="57" ht="25.05" customHeight="1">
      <c r="A57" s="4" t="n">
        <v>2112</v>
      </c>
      <c r="B57" s="4" t="inlineStr">
        <is>
          <t>VINO GEN MOSCATEL 75 CL</t>
        </is>
      </c>
      <c r="C57" s="8" t="n">
        <v>0</v>
      </c>
      <c r="D57" s="9" t="inlineStr">
        <is>
          <t>BOTELLA</t>
        </is>
      </c>
      <c r="E57" s="10" t="n">
        <v>5.446076</v>
      </c>
      <c r="F57" s="13">
        <f>C57*E57</f>
        <v/>
      </c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1">
        <f>SUM(G57:AK57)</f>
        <v/>
      </c>
      <c r="AM57" s="22">
        <f>SUM(C57,AL57)</f>
        <v/>
      </c>
      <c r="AN57" s="23">
        <f>E57*AM57</f>
        <v/>
      </c>
    </row>
    <row r="58" ht="25.05" customHeight="1">
      <c r="A58" s="4" t="n">
        <v>2135</v>
      </c>
      <c r="B58" s="4" t="inlineStr">
        <is>
          <t>VINO GEN OLOROSO CHICLANERO 75 CL</t>
        </is>
      </c>
      <c r="C58" s="8" t="n">
        <v>0</v>
      </c>
      <c r="D58" s="9" t="inlineStr">
        <is>
          <t>BOTELLA</t>
        </is>
      </c>
      <c r="E58" s="10" t="n">
        <v>5.249838</v>
      </c>
      <c r="F58" s="13">
        <f>C58*E58</f>
        <v/>
      </c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1">
        <f>SUM(G58:AK58)</f>
        <v/>
      </c>
      <c r="AM58" s="22">
        <f>SUM(C58,AL58)</f>
        <v/>
      </c>
      <c r="AN58" s="23">
        <f>E58*AM58</f>
        <v/>
      </c>
    </row>
    <row r="59" ht="25.05" customHeight="1">
      <c r="A59" s="4" t="n">
        <v>935</v>
      </c>
      <c r="B59" s="4" t="inlineStr">
        <is>
          <t>BRANDY CARLOS I 70 CL</t>
        </is>
      </c>
      <c r="C59" s="8" t="n">
        <v>0</v>
      </c>
      <c r="D59" s="9" t="inlineStr">
        <is>
          <t>BOTELLA</t>
        </is>
      </c>
      <c r="E59" s="10" t="n">
        <v>21.300665</v>
      </c>
      <c r="F59" s="13">
        <f>C59*E59</f>
        <v/>
      </c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1">
        <f>SUM(G59:AK59)</f>
        <v/>
      </c>
      <c r="AM59" s="22">
        <f>SUM(C59,AL59)</f>
        <v/>
      </c>
      <c r="AN59" s="23">
        <f>E59*AM59</f>
        <v/>
      </c>
    </row>
    <row r="60" ht="25.05" customHeight="1">
      <c r="A60" s="4" t="n">
        <v>134</v>
      </c>
      <c r="B60" s="4" t="inlineStr">
        <is>
          <t>BRANDY CARLOS III 70 CL</t>
        </is>
      </c>
      <c r="C60" s="8" t="n">
        <v>0</v>
      </c>
      <c r="D60" s="9" t="inlineStr">
        <is>
          <t>BOTELLA</t>
        </is>
      </c>
      <c r="E60" s="10" t="n">
        <v>9.993811000000001</v>
      </c>
      <c r="F60" s="13">
        <f>C60*E60</f>
        <v/>
      </c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1">
        <f>SUM(G60:AK60)</f>
        <v/>
      </c>
      <c r="AM60" s="22">
        <f>SUM(C60,AL60)</f>
        <v/>
      </c>
      <c r="AN60" s="23">
        <f>E60*AM60</f>
        <v/>
      </c>
    </row>
    <row r="61" ht="25.05" customHeight="1">
      <c r="A61" s="4" t="n">
        <v>216</v>
      </c>
      <c r="B61" s="4" t="inlineStr">
        <is>
          <t>BRANDY VETERANO 100 CL</t>
        </is>
      </c>
      <c r="C61" s="8" t="n">
        <v>0</v>
      </c>
      <c r="D61" s="9" t="inlineStr">
        <is>
          <t>BOTELLA</t>
        </is>
      </c>
      <c r="E61" s="10" t="n">
        <v>8.126220999999999</v>
      </c>
      <c r="F61" s="13">
        <f>C61*E61</f>
        <v/>
      </c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1">
        <f>SUM(G61:AK61)</f>
        <v/>
      </c>
      <c r="AM61" s="22">
        <f>SUM(C61,AL61)</f>
        <v/>
      </c>
      <c r="AN61" s="23">
        <f>E61*AM61</f>
        <v/>
      </c>
    </row>
    <row r="62" ht="25.05" customHeight="1">
      <c r="A62" s="4" t="n">
        <v>28</v>
      </c>
      <c r="B62" s="4" t="inlineStr">
        <is>
          <t>COÑAC HENNESSY V.S 70 CL</t>
        </is>
      </c>
      <c r="C62" s="8" t="n">
        <v>0</v>
      </c>
      <c r="D62" s="9" t="inlineStr">
        <is>
          <t>BOTELLA</t>
        </is>
      </c>
      <c r="E62" s="10" t="n">
        <v>34.469428</v>
      </c>
      <c r="F62" s="13">
        <f>C62*E62</f>
        <v/>
      </c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1">
        <f>SUM(G62:AK62)</f>
        <v/>
      </c>
      <c r="AM62" s="22">
        <f>SUM(C62,AL62)</f>
        <v/>
      </c>
      <c r="AN62" s="23">
        <f>E62*AM62</f>
        <v/>
      </c>
    </row>
    <row r="63" ht="25.05" customHeight="1">
      <c r="A63" s="4" t="n">
        <v>503</v>
      </c>
      <c r="B63" s="4" t="inlineStr">
        <is>
          <t>CAFE GRANO BLEND PROFONDO/ELEGANTE 1 KG</t>
        </is>
      </c>
      <c r="C63" s="8" t="n">
        <v>0</v>
      </c>
      <c r="D63" s="9" t="inlineStr">
        <is>
          <t>KILO</t>
        </is>
      </c>
      <c r="E63" s="10" t="n">
        <v>12.67</v>
      </c>
      <c r="F63" s="13">
        <f>C63*E63</f>
        <v/>
      </c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1">
        <f>SUM(G63:AK63)</f>
        <v/>
      </c>
      <c r="AM63" s="22">
        <f>SUM(C63,AL63)</f>
        <v/>
      </c>
      <c r="AN63" s="23">
        <f>E63*AM63</f>
        <v/>
      </c>
    </row>
    <row r="64" ht="25.05" customHeight="1">
      <c r="A64" s="4" t="n">
        <v>4135</v>
      </c>
      <c r="B64" s="4" t="inlineStr">
        <is>
          <t>CAFE GRANO DESCAFEINADO 500 GR</t>
        </is>
      </c>
      <c r="C64" s="8" t="n">
        <v>0</v>
      </c>
      <c r="D64" s="9" t="inlineStr">
        <is>
          <t>PAQUETE</t>
        </is>
      </c>
      <c r="E64" s="10" t="n">
        <v>6.209897</v>
      </c>
      <c r="F64" s="13">
        <f>C64*E64</f>
        <v/>
      </c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1">
        <f>SUM(G64:AK64)</f>
        <v/>
      </c>
      <c r="AM64" s="22">
        <f>SUM(C64,AL64)</f>
        <v/>
      </c>
      <c r="AN64" s="23">
        <f>E64*AM64</f>
        <v/>
      </c>
    </row>
    <row r="65" ht="25.05" customHeight="1">
      <c r="A65" s="4" t="n">
        <v>13609</v>
      </c>
      <c r="B65" s="4" t="inlineStr">
        <is>
          <t>CAFE SOLUBLE DESCAFEINADO 250 GR</t>
        </is>
      </c>
      <c r="C65" s="8" t="n">
        <v>0</v>
      </c>
      <c r="D65" s="9" t="inlineStr">
        <is>
          <t>PAQUETE</t>
        </is>
      </c>
      <c r="E65" s="10" t="n">
        <v>10.825581</v>
      </c>
      <c r="F65" s="13">
        <f>C65*E65</f>
        <v/>
      </c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1">
        <f>SUM(G65:AK65)</f>
        <v/>
      </c>
      <c r="AM65" s="22">
        <f>SUM(C65,AL65)</f>
        <v/>
      </c>
      <c r="AN65" s="23">
        <f>E65*AM65</f>
        <v/>
      </c>
    </row>
    <row r="66" ht="25.05" customHeight="1">
      <c r="A66" s="4" t="n">
        <v>28401</v>
      </c>
      <c r="B66" s="4" t="inlineStr">
        <is>
          <t>BIB TE/INFUSION TE BLANCO C/ARANDANOS</t>
        </is>
      </c>
      <c r="C66" s="8" t="n">
        <v>0</v>
      </c>
      <c r="D66" s="9" t="inlineStr">
        <is>
          <t>LITRO</t>
        </is>
      </c>
      <c r="E66" s="10" t="n">
        <v>3.5</v>
      </c>
      <c r="F66" s="13">
        <f>C66*E66</f>
        <v/>
      </c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1">
        <f>SUM(G66:AK66)</f>
        <v/>
      </c>
      <c r="AM66" s="22">
        <f>SUM(C66,AL66)</f>
        <v/>
      </c>
      <c r="AN66" s="23">
        <f>E66*AM66</f>
        <v/>
      </c>
    </row>
    <row r="67" ht="25.05" customHeight="1">
      <c r="A67" s="4" t="n">
        <v>28403</v>
      </c>
      <c r="B67" s="4" t="inlineStr">
        <is>
          <t>BIB TE/INFUSION TE VERDE C/JENGIBRE</t>
        </is>
      </c>
      <c r="C67" s="8" t="n">
        <v>0</v>
      </c>
      <c r="D67" s="9" t="inlineStr">
        <is>
          <t>LITRO</t>
        </is>
      </c>
      <c r="E67" s="10" t="n">
        <v>3.5</v>
      </c>
      <c r="F67" s="13">
        <f>C67*E67</f>
        <v/>
      </c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1">
        <f>SUM(G67:AK67)</f>
        <v/>
      </c>
      <c r="AM67" s="22">
        <f>SUM(C67,AL67)</f>
        <v/>
      </c>
      <c r="AN67" s="23">
        <f>E67*AM67</f>
        <v/>
      </c>
    </row>
    <row r="68" ht="25.05" customHeight="1">
      <c r="A68" s="4" t="n">
        <v>23783</v>
      </c>
      <c r="B68" s="4" t="inlineStr">
        <is>
          <t>TE/INFUSION BOLSITA IND PAPEL EARL GREY 1.5 GR 30 UD</t>
        </is>
      </c>
      <c r="C68" s="8" t="n">
        <v>0</v>
      </c>
      <c r="D68" s="9" t="inlineStr">
        <is>
          <t>UNIDAD</t>
        </is>
      </c>
      <c r="E68" s="10" t="n">
        <v>0.072076</v>
      </c>
      <c r="F68" s="13">
        <f>C68*E68</f>
        <v/>
      </c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1">
        <f>SUM(G68:AK68)</f>
        <v/>
      </c>
      <c r="AM68" s="22">
        <f>SUM(C68,AL68)</f>
        <v/>
      </c>
      <c r="AN68" s="23">
        <f>E68*AM68</f>
        <v/>
      </c>
    </row>
    <row r="69" ht="25.05" customHeight="1">
      <c r="A69" s="4" t="n">
        <v>23775</v>
      </c>
      <c r="B69" s="4" t="inlineStr">
        <is>
          <t>TE/INFUSION BOLSITA IND PAPEL ENGLISH BREAKFAST 1.5 GR 30 UD</t>
        </is>
      </c>
      <c r="C69" s="8" t="n">
        <v>0</v>
      </c>
      <c r="D69" s="9" t="inlineStr">
        <is>
          <t>UNIDAD</t>
        </is>
      </c>
      <c r="E69" s="10" t="n">
        <v>0.07403800000000001</v>
      </c>
      <c r="F69" s="13">
        <f>C69*E69</f>
        <v/>
      </c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1">
        <f>SUM(G69:AK69)</f>
        <v/>
      </c>
      <c r="AM69" s="22">
        <f>SUM(C69,AL69)</f>
        <v/>
      </c>
      <c r="AN69" s="23">
        <f>E69*AM69</f>
        <v/>
      </c>
    </row>
    <row r="70" ht="25.05" customHeight="1">
      <c r="A70" s="4" t="n">
        <v>23777</v>
      </c>
      <c r="B70" s="4" t="inlineStr">
        <is>
          <t>TE/INFUSION BOLSITA IND PAPEL FRUTAS BOSQUE 1.5 GR 30 UD</t>
        </is>
      </c>
      <c r="C70" s="8" t="n">
        <v>0</v>
      </c>
      <c r="D70" s="9" t="inlineStr">
        <is>
          <t>UNIDAD</t>
        </is>
      </c>
      <c r="E70" s="10" t="n">
        <v>0.085773</v>
      </c>
      <c r="F70" s="13">
        <f>C70*E70</f>
        <v/>
      </c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1">
        <f>SUM(G70:AK70)</f>
        <v/>
      </c>
      <c r="AM70" s="22">
        <f>SUM(C70,AL70)</f>
        <v/>
      </c>
      <c r="AN70" s="23">
        <f>E70*AM70</f>
        <v/>
      </c>
    </row>
    <row r="71" ht="25.05" customHeight="1">
      <c r="A71" s="4" t="n">
        <v>23771</v>
      </c>
      <c r="B71" s="4" t="inlineStr">
        <is>
          <t>TE/INFUSION BOLSITA IND PAPEL MANZANILLA 1.5 GR 30 UD</t>
        </is>
      </c>
      <c r="C71" s="8" t="n">
        <v>0</v>
      </c>
      <c r="D71" s="9" t="inlineStr">
        <is>
          <t>UNIDAD</t>
        </is>
      </c>
      <c r="E71" s="10" t="n">
        <v>0.07119499999999999</v>
      </c>
      <c r="F71" s="13">
        <f>C71*E71</f>
        <v/>
      </c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  <c r="AI71" s="20" t="n"/>
      <c r="AJ71" s="20" t="n"/>
      <c r="AK71" s="20" t="n"/>
      <c r="AL71" s="21">
        <f>SUM(G71:AK71)</f>
        <v/>
      </c>
      <c r="AM71" s="22">
        <f>SUM(C71,AL71)</f>
        <v/>
      </c>
      <c r="AN71" s="23">
        <f>E71*AM71</f>
        <v/>
      </c>
    </row>
    <row r="72" ht="25.05" customHeight="1">
      <c r="A72" s="4" t="n">
        <v>23773</v>
      </c>
      <c r="B72" s="4" t="inlineStr">
        <is>
          <t>TE/INFUSION BOLSITA IND PAPEL MENTA 1.5 GR 30 UD</t>
        </is>
      </c>
      <c r="C72" s="8" t="n">
        <v>0</v>
      </c>
      <c r="D72" s="9" t="inlineStr">
        <is>
          <t>UNIDAD</t>
        </is>
      </c>
      <c r="E72" s="10" t="n">
        <v>0.071868</v>
      </c>
      <c r="F72" s="13">
        <f>C72*E72</f>
        <v/>
      </c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1">
        <f>SUM(G72:AK72)</f>
        <v/>
      </c>
      <c r="AM72" s="22">
        <f>SUM(C72,AL72)</f>
        <v/>
      </c>
      <c r="AN72" s="23">
        <f>E72*AM72</f>
        <v/>
      </c>
    </row>
    <row r="73" ht="25.05" customHeight="1">
      <c r="A73" s="4" t="n">
        <v>23874</v>
      </c>
      <c r="B73" s="4" t="inlineStr">
        <is>
          <t>TE/INFUSION BOLSITA IND PAPEL ROJO 1.5 GR 30 UD</t>
        </is>
      </c>
      <c r="C73" s="8" t="n">
        <v>0</v>
      </c>
      <c r="D73" s="9" t="inlineStr">
        <is>
          <t>UNIDAD</t>
        </is>
      </c>
      <c r="E73" s="10" t="n">
        <v>0.08250300000000001</v>
      </c>
      <c r="F73" s="13">
        <f>C73*E73</f>
        <v/>
      </c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1">
        <f>SUM(G73:AK73)</f>
        <v/>
      </c>
      <c r="AM73" s="22">
        <f>SUM(C73,AL73)</f>
        <v/>
      </c>
      <c r="AN73" s="23">
        <f>E73*AM73</f>
        <v/>
      </c>
    </row>
    <row r="74" ht="25.05" customHeight="1">
      <c r="A74" s="4" t="n">
        <v>23939</v>
      </c>
      <c r="B74" s="4" t="inlineStr">
        <is>
          <t>TE/INFUSION BOLSITA IND PAPEL SWEET ROOIBOS 1.5 GR 30 UD</t>
        </is>
      </c>
      <c r="C74" s="8" t="n">
        <v>0</v>
      </c>
      <c r="D74" s="9" t="inlineStr">
        <is>
          <t>UNIDAD</t>
        </is>
      </c>
      <c r="E74" s="10" t="n">
        <v>0.084091</v>
      </c>
      <c r="F74" s="13">
        <f>C74*E74</f>
        <v/>
      </c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1">
        <f>SUM(G74:AK74)</f>
        <v/>
      </c>
      <c r="AM74" s="22">
        <f>SUM(C74,AL74)</f>
        <v/>
      </c>
      <c r="AN74" s="23">
        <f>E74*AM74</f>
        <v/>
      </c>
    </row>
    <row r="75" ht="25.05" customHeight="1">
      <c r="A75" s="4" t="n">
        <v>23766</v>
      </c>
      <c r="B75" s="4" t="inlineStr">
        <is>
          <t>TE/INFUSION BOLSITA IND PAPEL TILA 1.5 GR 30 UD</t>
        </is>
      </c>
      <c r="C75" s="8" t="n">
        <v>0</v>
      </c>
      <c r="D75" s="9" t="inlineStr">
        <is>
          <t>UNIDAD</t>
        </is>
      </c>
      <c r="E75" s="10" t="n">
        <v>0.082526</v>
      </c>
      <c r="F75" s="13">
        <f>C75*E75</f>
        <v/>
      </c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0" t="n"/>
      <c r="AJ75" s="20" t="n"/>
      <c r="AK75" s="20" t="n"/>
      <c r="AL75" s="21">
        <f>SUM(G75:AK75)</f>
        <v/>
      </c>
      <c r="AM75" s="22">
        <f>SUM(C75,AL75)</f>
        <v/>
      </c>
      <c r="AN75" s="23">
        <f>E75*AM75</f>
        <v/>
      </c>
    </row>
    <row r="76" ht="25.05" customHeight="1">
      <c r="A76" s="4" t="n">
        <v>23781</v>
      </c>
      <c r="B76" s="4" t="inlineStr">
        <is>
          <t>TE/INFUSION BOLSITA IND PAPEL VERDE ORGANICO 1.5 GR 30 UD</t>
        </is>
      </c>
      <c r="C76" s="8" t="n">
        <v>0</v>
      </c>
      <c r="D76" s="9" t="inlineStr">
        <is>
          <t>UNIDAD</t>
        </is>
      </c>
      <c r="E76" s="10" t="n">
        <v>0.087293</v>
      </c>
      <c r="F76" s="13">
        <f>C76*E76</f>
        <v/>
      </c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1">
        <f>SUM(G76:AK76)</f>
        <v/>
      </c>
      <c r="AM76" s="22">
        <f>SUM(C76,AL76)</f>
        <v/>
      </c>
      <c r="AN76" s="23">
        <f>E76*AM76</f>
        <v/>
      </c>
    </row>
    <row r="77" ht="25.05" customHeight="1">
      <c r="A77" s="4" t="n">
        <v>8983</v>
      </c>
      <c r="B77" s="4" t="inlineStr">
        <is>
          <t>CAVA CASTELL D'ORDAL BRUT 75 CL</t>
        </is>
      </c>
      <c r="C77" s="8" t="n">
        <v>0</v>
      </c>
      <c r="D77" s="9" t="inlineStr">
        <is>
          <t>BOTELLA</t>
        </is>
      </c>
      <c r="E77" s="10" t="n">
        <v>1.899995</v>
      </c>
      <c r="F77" s="13">
        <f>C77*E77</f>
        <v/>
      </c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1">
        <f>SUM(G77:AK77)</f>
        <v/>
      </c>
      <c r="AM77" s="22">
        <f>SUM(C77,AL77)</f>
        <v/>
      </c>
      <c r="AN77" s="23">
        <f>E77*AM77</f>
        <v/>
      </c>
    </row>
    <row r="78" ht="25.05" customHeight="1">
      <c r="A78" s="4" t="n">
        <v>11946</v>
      </c>
      <c r="B78" s="4" t="inlineStr">
        <is>
          <t>CAVA ELYSSIA GRAN CUVEE BRUT 75 CL</t>
        </is>
      </c>
      <c r="C78" s="8" t="n">
        <v>0</v>
      </c>
      <c r="D78" s="9" t="inlineStr">
        <is>
          <t>BOTELLA</t>
        </is>
      </c>
      <c r="E78" s="10" t="n">
        <v>5.541301</v>
      </c>
      <c r="F78" s="13">
        <f>C78*E78</f>
        <v/>
      </c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1">
        <f>SUM(G78:AK78)</f>
        <v/>
      </c>
      <c r="AM78" s="22">
        <f>SUM(C78,AL78)</f>
        <v/>
      </c>
      <c r="AN78" s="23">
        <f>E78*AM78</f>
        <v/>
      </c>
    </row>
    <row r="79" ht="25.05" customHeight="1">
      <c r="A79" s="4" t="n">
        <v>11986</v>
      </c>
      <c r="B79" s="4" t="inlineStr">
        <is>
          <t>CAVA ELYSSIA PINOT NOIR ROSE   75 CL</t>
        </is>
      </c>
      <c r="C79" s="8" t="n">
        <v>0</v>
      </c>
      <c r="D79" s="9" t="inlineStr">
        <is>
          <t>BOTELLA</t>
        </is>
      </c>
      <c r="E79" s="10" t="n">
        <v>5.549457</v>
      </c>
      <c r="F79" s="13">
        <f>C79*E79</f>
        <v/>
      </c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  <c r="AI79" s="20" t="n"/>
      <c r="AJ79" s="20" t="n"/>
      <c r="AK79" s="20" t="n"/>
      <c r="AL79" s="21">
        <f>SUM(G79:AK79)</f>
        <v/>
      </c>
      <c r="AM79" s="22">
        <f>SUM(C79,AL79)</f>
        <v/>
      </c>
      <c r="AN79" s="23">
        <f>E79*AM79</f>
        <v/>
      </c>
    </row>
    <row r="80" ht="25.05" customHeight="1">
      <c r="A80" s="4" t="n">
        <v>24464</v>
      </c>
      <c r="B80" s="4" t="inlineStr">
        <is>
          <t>CHAMPAN ABELE 1757 BRUT 75 CL</t>
        </is>
      </c>
      <c r="C80" s="8" t="n">
        <v>0</v>
      </c>
      <c r="D80" s="9" t="inlineStr">
        <is>
          <t>BOTELLA</t>
        </is>
      </c>
      <c r="E80" s="10" t="n">
        <v>26.18</v>
      </c>
      <c r="F80" s="13">
        <f>C80*E80</f>
        <v/>
      </c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1">
        <f>SUM(G80:AK80)</f>
        <v/>
      </c>
      <c r="AM80" s="22">
        <f>SUM(C80,AL80)</f>
        <v/>
      </c>
      <c r="AN80" s="23">
        <f>E80*AM80</f>
        <v/>
      </c>
    </row>
    <row r="81" ht="25.05" customHeight="1">
      <c r="A81" s="4" t="n">
        <v>24465</v>
      </c>
      <c r="B81" s="4" t="inlineStr">
        <is>
          <t>CHAMPAN ABELE 1757 ROSE 75 CL</t>
        </is>
      </c>
      <c r="C81" s="8" t="n">
        <v>0</v>
      </c>
      <c r="D81" s="9" t="inlineStr">
        <is>
          <t>BOTELLA</t>
        </is>
      </c>
      <c r="E81" s="10" t="n">
        <v>32.68</v>
      </c>
      <c r="F81" s="13">
        <f>C81*E81</f>
        <v/>
      </c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1">
        <f>SUM(G81:AK81)</f>
        <v/>
      </c>
      <c r="AM81" s="22">
        <f>SUM(C81,AL81)</f>
        <v/>
      </c>
      <c r="AN81" s="23">
        <f>E81*AM81</f>
        <v/>
      </c>
    </row>
    <row r="82" ht="25.05" customHeight="1">
      <c r="A82" s="4" t="n">
        <v>97</v>
      </c>
      <c r="B82" s="4" t="inlineStr">
        <is>
          <t>CHAMPAN MOET &amp; CHANDON 75 CL</t>
        </is>
      </c>
      <c r="C82" s="8" t="n">
        <v>0</v>
      </c>
      <c r="D82" s="9" t="inlineStr">
        <is>
          <t>BOTELLA</t>
        </is>
      </c>
      <c r="E82" s="10" t="n">
        <v>34.5</v>
      </c>
      <c r="F82" s="13">
        <f>C82*E82</f>
        <v/>
      </c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1">
        <f>SUM(G82:AK82)</f>
        <v/>
      </c>
      <c r="AM82" s="22">
        <f>SUM(C82,AL82)</f>
        <v/>
      </c>
      <c r="AN82" s="23">
        <f>E82*AM82</f>
        <v/>
      </c>
    </row>
    <row r="83" ht="25.05" customHeight="1">
      <c r="A83" s="4" t="n">
        <v>6345</v>
      </c>
      <c r="B83" s="4" t="inlineStr">
        <is>
          <t>CHAMPAN TAITTINGER BRUT RVA 75 CL</t>
        </is>
      </c>
      <c r="C83" s="8" t="n">
        <v>0</v>
      </c>
      <c r="D83" s="9" t="inlineStr">
        <is>
          <t>BOTELLA</t>
        </is>
      </c>
      <c r="E83" s="10" t="n">
        <v>37.53</v>
      </c>
      <c r="F83" s="13">
        <f>C83*E83</f>
        <v/>
      </c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  <c r="AI83" s="20" t="n"/>
      <c r="AJ83" s="20" t="n"/>
      <c r="AK83" s="20" t="n"/>
      <c r="AL83" s="21">
        <f>SUM(G83:AK83)</f>
        <v/>
      </c>
      <c r="AM83" s="22">
        <f>SUM(C83,AL83)</f>
        <v/>
      </c>
      <c r="AN83" s="23">
        <f>E83*AM83</f>
        <v/>
      </c>
    </row>
    <row r="84" ht="25.05" customHeight="1">
      <c r="A84" s="4" t="n">
        <v>8992</v>
      </c>
      <c r="B84" s="4" t="inlineStr">
        <is>
          <t>CERVEZA BARRIL MAHOU CLASICA 30 LT</t>
        </is>
      </c>
      <c r="C84" s="8" t="n">
        <v>0</v>
      </c>
      <c r="D84" s="9" t="inlineStr">
        <is>
          <t>LITRO</t>
        </is>
      </c>
      <c r="E84" s="10" t="n">
        <v>0.502317</v>
      </c>
      <c r="F84" s="13">
        <f>C84*E84</f>
        <v/>
      </c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  <c r="AI84" s="20" t="n"/>
      <c r="AJ84" s="20" t="n"/>
      <c r="AK84" s="20" t="n"/>
      <c r="AL84" s="21">
        <f>SUM(G84:AK84)</f>
        <v/>
      </c>
      <c r="AM84" s="22">
        <f>SUM(C84,AL84)</f>
        <v/>
      </c>
      <c r="AN84" s="23">
        <f>E84*AM84</f>
        <v/>
      </c>
    </row>
    <row r="85" ht="25.05" customHeight="1">
      <c r="A85" s="4" t="n">
        <v>13829</v>
      </c>
      <c r="B85" s="4" t="inlineStr">
        <is>
          <t>CERVEZA CORONA EXTRA S/R 35.5 CL</t>
        </is>
      </c>
      <c r="C85" s="8" t="n">
        <v>0</v>
      </c>
      <c r="D85" s="9" t="inlineStr">
        <is>
          <t>BOTELLA</t>
        </is>
      </c>
      <c r="E85" s="10" t="n">
        <v>0.6689310000000001</v>
      </c>
      <c r="F85" s="13">
        <f>C85*E85</f>
        <v/>
      </c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1">
        <f>SUM(G85:AK85)</f>
        <v/>
      </c>
      <c r="AM85" s="22">
        <f>SUM(C85,AL85)</f>
        <v/>
      </c>
      <c r="AN85" s="23">
        <f>E85*AM85</f>
        <v/>
      </c>
    </row>
    <row r="86" ht="25.05" customHeight="1">
      <c r="A86" s="4" t="n">
        <v>15467</v>
      </c>
      <c r="B86" s="4" t="inlineStr">
        <is>
          <t>CERVEZA FRANZISKANER S/R 50 CL</t>
        </is>
      </c>
      <c r="C86" s="8" t="n">
        <v>0</v>
      </c>
      <c r="D86" s="9" t="inlineStr">
        <is>
          <t>BOTELLA</t>
        </is>
      </c>
      <c r="E86" s="10" t="n">
        <v>1.132325</v>
      </c>
      <c r="F86" s="13">
        <f>C86*E86</f>
        <v/>
      </c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1">
        <f>SUM(G86:AK86)</f>
        <v/>
      </c>
      <c r="AM86" s="22">
        <f>SUM(C86,AL86)</f>
        <v/>
      </c>
      <c r="AN86" s="23">
        <f>E86*AM86</f>
        <v/>
      </c>
    </row>
    <row r="87" ht="25.05" customHeight="1">
      <c r="A87" s="4" t="n">
        <v>4341</v>
      </c>
      <c r="B87" s="4" t="inlineStr">
        <is>
          <t>CERVEZA HEINEKEN C/R 33 CL</t>
        </is>
      </c>
      <c r="C87" s="8" t="n">
        <v>0</v>
      </c>
      <c r="D87" s="9" t="inlineStr">
        <is>
          <t>BOTELLA</t>
        </is>
      </c>
      <c r="E87" s="10" t="n">
        <v>0.583</v>
      </c>
      <c r="F87" s="13">
        <f>C87*E87</f>
        <v/>
      </c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  <c r="AI87" s="20" t="n"/>
      <c r="AJ87" s="20" t="n"/>
      <c r="AK87" s="20" t="n"/>
      <c r="AL87" s="21">
        <f>SUM(G87:AK87)</f>
        <v/>
      </c>
      <c r="AM87" s="22">
        <f>SUM(C87,AL87)</f>
        <v/>
      </c>
      <c r="AN87" s="23">
        <f>E87*AM87</f>
        <v/>
      </c>
    </row>
    <row r="88" ht="25.05" customHeight="1">
      <c r="A88" s="4" t="n">
        <v>17627</v>
      </c>
      <c r="B88" s="4" t="inlineStr">
        <is>
          <t>CERVEZA SAN MIGUEL S/GLUTEN SR 33 CL</t>
        </is>
      </c>
      <c r="C88" s="8" t="n">
        <v>0</v>
      </c>
      <c r="D88" s="9" t="inlineStr">
        <is>
          <t>BOTELLA</t>
        </is>
      </c>
      <c r="E88" s="10" t="n">
        <v>0.754984</v>
      </c>
      <c r="F88" s="13">
        <f>C88*E88</f>
        <v/>
      </c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20" t="n"/>
      <c r="AK88" s="20" t="n"/>
      <c r="AL88" s="21">
        <f>SUM(G88:AK88)</f>
        <v/>
      </c>
      <c r="AM88" s="22">
        <f>SUM(C88,AL88)</f>
        <v/>
      </c>
      <c r="AN88" s="23">
        <f>E88*AM88</f>
        <v/>
      </c>
    </row>
    <row r="89" ht="25.05" customHeight="1">
      <c r="A89" s="4" t="n">
        <v>25720</v>
      </c>
      <c r="B89" s="4" t="inlineStr">
        <is>
          <t>CERVEZA SIN ALCOHOL MAHOU TOSTADA C/R 33 CL</t>
        </is>
      </c>
      <c r="C89" s="8" t="n">
        <v>0</v>
      </c>
      <c r="D89" s="9" t="inlineStr">
        <is>
          <t>UNIDAD</t>
        </is>
      </c>
      <c r="E89" s="10" t="n">
        <v>0.35092</v>
      </c>
      <c r="F89" s="13">
        <f>C89*E89</f>
        <v/>
      </c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1">
        <f>SUM(G89:AK89)</f>
        <v/>
      </c>
      <c r="AM89" s="22">
        <f>SUM(C89,AL89)</f>
        <v/>
      </c>
      <c r="AN89" s="23">
        <f>E89*AM89</f>
        <v/>
      </c>
    </row>
    <row r="90" ht="25.05" customHeight="1">
      <c r="A90" s="4" t="n">
        <v>5796</v>
      </c>
      <c r="B90" s="4" t="inlineStr">
        <is>
          <t>CERVEZA SIN ALCOHOL S.M 0'0 33 CL</t>
        </is>
      </c>
      <c r="C90" s="8" t="n">
        <v>0</v>
      </c>
      <c r="D90" s="9" t="inlineStr">
        <is>
          <t>BOTELLA</t>
        </is>
      </c>
      <c r="E90" s="10" t="n">
        <v>0.327086</v>
      </c>
      <c r="F90" s="13">
        <f>C90*E90</f>
        <v/>
      </c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  <c r="AI90" s="20" t="n"/>
      <c r="AJ90" s="20" t="n"/>
      <c r="AK90" s="20" t="n"/>
      <c r="AL90" s="21">
        <f>SUM(G90:AK90)</f>
        <v/>
      </c>
      <c r="AM90" s="22">
        <f>SUM(C90,AL90)</f>
        <v/>
      </c>
      <c r="AN90" s="23">
        <f>E90*AM90</f>
        <v/>
      </c>
    </row>
    <row r="91" ht="25.05" customHeight="1">
      <c r="A91" s="4" t="n">
        <v>54</v>
      </c>
      <c r="B91" s="4" t="inlineStr">
        <is>
          <t>AGUARD. GRAPPA 70 CL</t>
        </is>
      </c>
      <c r="C91" s="8" t="n">
        <v>0</v>
      </c>
      <c r="D91" s="9" t="inlineStr">
        <is>
          <t>BOTELLA</t>
        </is>
      </c>
      <c r="E91" s="10" t="n">
        <v>7.102987</v>
      </c>
      <c r="F91" s="13">
        <f>C91*E91</f>
        <v/>
      </c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1">
        <f>SUM(G91:AK91)</f>
        <v/>
      </c>
      <c r="AM91" s="22">
        <f>SUM(C91,AL91)</f>
        <v/>
      </c>
      <c r="AN91" s="23">
        <f>E91*AM91</f>
        <v/>
      </c>
    </row>
    <row r="92" ht="25.05" customHeight="1">
      <c r="A92" s="4" t="n">
        <v>7273</v>
      </c>
      <c r="B92" s="4" t="inlineStr">
        <is>
          <t>AGUARD. ORUJO DE HIERBAS 70 CL</t>
        </is>
      </c>
      <c r="C92" s="8" t="n">
        <v>0</v>
      </c>
      <c r="D92" s="9" t="inlineStr">
        <is>
          <t>BOTELLA</t>
        </is>
      </c>
      <c r="E92" s="10" t="n">
        <v>7.989975</v>
      </c>
      <c r="F92" s="13">
        <f>C92*E92</f>
        <v/>
      </c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1">
        <f>SUM(G92:AK92)</f>
        <v/>
      </c>
      <c r="AM92" s="22">
        <f>SUM(C92,AL92)</f>
        <v/>
      </c>
      <c r="AN92" s="23">
        <f>E92*AM92</f>
        <v/>
      </c>
    </row>
    <row r="93" ht="25.05" customHeight="1">
      <c r="A93" s="4" t="n">
        <v>135</v>
      </c>
      <c r="B93" s="4" t="inlineStr">
        <is>
          <t>GIN BEEFEATER 70 CL</t>
        </is>
      </c>
      <c r="C93" s="8" t="n">
        <v>0</v>
      </c>
      <c r="D93" s="9" t="inlineStr">
        <is>
          <t>BOTELLA</t>
        </is>
      </c>
      <c r="E93" s="10" t="n">
        <v>11.873156</v>
      </c>
      <c r="F93" s="13">
        <f>C93*E93</f>
        <v/>
      </c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1">
        <f>SUM(G93:AK93)</f>
        <v/>
      </c>
      <c r="AM93" s="22">
        <f>SUM(C93,AL93)</f>
        <v/>
      </c>
      <c r="AN93" s="23">
        <f>E93*AM93</f>
        <v/>
      </c>
    </row>
    <row r="94" ht="25.05" customHeight="1">
      <c r="A94" s="4" t="n">
        <v>6501</v>
      </c>
      <c r="B94" s="4" t="inlineStr">
        <is>
          <t>GIN BOMBAY SAPPHIRE 70 CL</t>
        </is>
      </c>
      <c r="C94" s="8" t="n">
        <v>0</v>
      </c>
      <c r="D94" s="9" t="inlineStr">
        <is>
          <t>BOTELLA</t>
        </is>
      </c>
      <c r="E94" s="10" t="n">
        <v>14.73</v>
      </c>
      <c r="F94" s="13">
        <f>C94*E94</f>
        <v/>
      </c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1">
        <f>SUM(G94:AK94)</f>
        <v/>
      </c>
      <c r="AM94" s="22">
        <f>SUM(C94,AL94)</f>
        <v/>
      </c>
      <c r="AN94" s="23">
        <f>E94*AM94</f>
        <v/>
      </c>
    </row>
    <row r="95" ht="25.05" customHeight="1">
      <c r="A95" s="4" t="n">
        <v>25866</v>
      </c>
      <c r="B95" s="4" t="inlineStr">
        <is>
          <t>GIN FITA 70 CL</t>
        </is>
      </c>
      <c r="C95" s="8" t="n">
        <v>0</v>
      </c>
      <c r="D95" s="9" t="inlineStr">
        <is>
          <t>UNIDAD</t>
        </is>
      </c>
      <c r="E95" s="10" t="n">
        <v>11.648386</v>
      </c>
      <c r="F95" s="13">
        <f>C95*E95</f>
        <v/>
      </c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  <c r="AI95" s="20" t="n"/>
      <c r="AJ95" s="20" t="n"/>
      <c r="AK95" s="20" t="n"/>
      <c r="AL95" s="21">
        <f>SUM(G95:AK95)</f>
        <v/>
      </c>
      <c r="AM95" s="22">
        <f>SUM(C95,AL95)</f>
        <v/>
      </c>
      <c r="AN95" s="23">
        <f>E95*AM95</f>
        <v/>
      </c>
    </row>
    <row r="96" ht="25.05" customHeight="1">
      <c r="A96" s="4" t="n">
        <v>11275</v>
      </c>
      <c r="B96" s="4" t="inlineStr">
        <is>
          <t>GIN G'VINE 70 CL</t>
        </is>
      </c>
      <c r="C96" s="8" t="n">
        <v>0</v>
      </c>
      <c r="D96" s="9" t="inlineStr">
        <is>
          <t>BOTELLA</t>
        </is>
      </c>
      <c r="E96" s="10" t="n">
        <v>25.548922</v>
      </c>
      <c r="F96" s="13">
        <f>C96*E96</f>
        <v/>
      </c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  <c r="AI96" s="20" t="n"/>
      <c r="AJ96" s="20" t="n"/>
      <c r="AK96" s="20" t="n"/>
      <c r="AL96" s="21">
        <f>SUM(G96:AK96)</f>
        <v/>
      </c>
      <c r="AM96" s="22">
        <f>SUM(C96,AL96)</f>
        <v/>
      </c>
      <c r="AN96" s="23">
        <f>E96*AM96</f>
        <v/>
      </c>
    </row>
    <row r="97" ht="25.05" customHeight="1">
      <c r="A97" s="4" t="n">
        <v>1074</v>
      </c>
      <c r="B97" s="4" t="inlineStr">
        <is>
          <t>GIN GORDON'S 70 CL</t>
        </is>
      </c>
      <c r="C97" s="8" t="n">
        <v>0</v>
      </c>
      <c r="D97" s="9" t="inlineStr">
        <is>
          <t>BOTELLA</t>
        </is>
      </c>
      <c r="E97" s="10" t="n">
        <v>9.565115</v>
      </c>
      <c r="F97" s="13">
        <f>C97*E97</f>
        <v/>
      </c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1">
        <f>SUM(G97:AK97)</f>
        <v/>
      </c>
      <c r="AM97" s="22">
        <f>SUM(C97,AL97)</f>
        <v/>
      </c>
      <c r="AN97" s="23">
        <f>E97*AM97</f>
        <v/>
      </c>
    </row>
    <row r="98" ht="25.05" customHeight="1">
      <c r="A98" s="4" t="n">
        <v>23315</v>
      </c>
      <c r="B98" s="4" t="inlineStr">
        <is>
          <t>GIN GORDON'S PINK 70 CL</t>
        </is>
      </c>
      <c r="C98" s="8" t="n">
        <v>0</v>
      </c>
      <c r="D98" s="9" t="inlineStr">
        <is>
          <t>BOTELLA</t>
        </is>
      </c>
      <c r="E98" s="10" t="n">
        <v>10.912527</v>
      </c>
      <c r="F98" s="13">
        <f>C98*E98</f>
        <v/>
      </c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  <c r="AI98" s="20" t="n"/>
      <c r="AJ98" s="20" t="n"/>
      <c r="AK98" s="20" t="n"/>
      <c r="AL98" s="21">
        <f>SUM(G98:AK98)</f>
        <v/>
      </c>
      <c r="AM98" s="22">
        <f>SUM(C98,AL98)</f>
        <v/>
      </c>
      <c r="AN98" s="23">
        <f>E98*AM98</f>
        <v/>
      </c>
    </row>
    <row r="99" ht="25.05" customHeight="1">
      <c r="A99" s="4" t="n">
        <v>9351</v>
      </c>
      <c r="B99" s="4" t="inlineStr">
        <is>
          <t>GIN HENDRICKS 70  CL</t>
        </is>
      </c>
      <c r="C99" s="8" t="n">
        <v>0</v>
      </c>
      <c r="D99" s="9" t="inlineStr">
        <is>
          <t>BOTELLA</t>
        </is>
      </c>
      <c r="E99" s="10" t="n">
        <v>22.4</v>
      </c>
      <c r="F99" s="13">
        <f>C99*E99</f>
        <v/>
      </c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  <c r="AI99" s="20" t="n"/>
      <c r="AJ99" s="20" t="n"/>
      <c r="AK99" s="20" t="n"/>
      <c r="AL99" s="21">
        <f>SUM(G99:AK99)</f>
        <v/>
      </c>
      <c r="AM99" s="22">
        <f>SUM(C99,AL99)</f>
        <v/>
      </c>
      <c r="AN99" s="23">
        <f>E99*AM99</f>
        <v/>
      </c>
    </row>
    <row r="100" ht="25.05" customHeight="1">
      <c r="A100" s="4" t="n">
        <v>17517</v>
      </c>
      <c r="B100" s="4" t="inlineStr">
        <is>
          <t>GIN LARIOS 12 AÑOS 70 CL</t>
        </is>
      </c>
      <c r="C100" s="8" t="n">
        <v>0</v>
      </c>
      <c r="D100" s="9" t="inlineStr">
        <is>
          <t>BOTELLA</t>
        </is>
      </c>
      <c r="E100" s="10" t="n">
        <v>12.811429</v>
      </c>
      <c r="F100" s="13">
        <f>C100*E100</f>
        <v/>
      </c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  <c r="AI100" s="20" t="n"/>
      <c r="AJ100" s="20" t="n"/>
      <c r="AK100" s="20" t="n"/>
      <c r="AL100" s="21">
        <f>SUM(G100:AK100)</f>
        <v/>
      </c>
      <c r="AM100" s="22">
        <f>SUM(C100,AL100)</f>
        <v/>
      </c>
      <c r="AN100" s="23">
        <f>E100*AM100</f>
        <v/>
      </c>
    </row>
    <row r="101" ht="25.05" customHeight="1">
      <c r="A101" s="4" t="n">
        <v>13276</v>
      </c>
      <c r="B101" s="4" t="inlineStr">
        <is>
          <t>GIN MARE 70 CL</t>
        </is>
      </c>
      <c r="C101" s="8" t="n">
        <v>0</v>
      </c>
      <c r="D101" s="9" t="inlineStr">
        <is>
          <t>BOTELLA</t>
        </is>
      </c>
      <c r="E101" s="10" t="n">
        <v>24.378749</v>
      </c>
      <c r="F101" s="13">
        <f>C101*E101</f>
        <v/>
      </c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1">
        <f>SUM(G101:AK101)</f>
        <v/>
      </c>
      <c r="AM101" s="22">
        <f>SUM(C101,AL101)</f>
        <v/>
      </c>
      <c r="AN101" s="23">
        <f>E101*AM101</f>
        <v/>
      </c>
    </row>
    <row r="102" ht="25.05" customHeight="1">
      <c r="A102" s="4" t="n">
        <v>20600</v>
      </c>
      <c r="B102" s="4" t="inlineStr">
        <is>
          <t>GIN NORDES 70 CL</t>
        </is>
      </c>
      <c r="C102" s="8" t="n">
        <v>0</v>
      </c>
      <c r="D102" s="9" t="inlineStr">
        <is>
          <t>BOTELLA</t>
        </is>
      </c>
      <c r="E102" s="10" t="n">
        <v>17.96</v>
      </c>
      <c r="F102" s="13">
        <f>C102*E102</f>
        <v/>
      </c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  <c r="AJ102" s="20" t="n"/>
      <c r="AK102" s="20" t="n"/>
      <c r="AL102" s="21">
        <f>SUM(G102:AK102)</f>
        <v/>
      </c>
      <c r="AM102" s="22">
        <f>SUM(C102,AL102)</f>
        <v/>
      </c>
      <c r="AN102" s="23">
        <f>E102*AM102</f>
        <v/>
      </c>
    </row>
    <row r="103" ht="25.05" customHeight="1">
      <c r="A103" s="4" t="n">
        <v>17178</v>
      </c>
      <c r="B103" s="4" t="inlineStr">
        <is>
          <t>GIN PUERTO DE INDIAS FRESA 70 CL</t>
        </is>
      </c>
      <c r="C103" s="8" t="n">
        <v>0</v>
      </c>
      <c r="D103" s="9" t="inlineStr">
        <is>
          <t>BOTELLA</t>
        </is>
      </c>
      <c r="E103" s="10" t="n">
        <v>12.447232</v>
      </c>
      <c r="F103" s="13">
        <f>C103*E103</f>
        <v/>
      </c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  <c r="AI103" s="20" t="n"/>
      <c r="AJ103" s="20" t="n"/>
      <c r="AK103" s="20" t="n"/>
      <c r="AL103" s="21">
        <f>SUM(G103:AK103)</f>
        <v/>
      </c>
      <c r="AM103" s="22">
        <f>SUM(C103,AL103)</f>
        <v/>
      </c>
      <c r="AN103" s="23">
        <f>E103*AM103</f>
        <v/>
      </c>
    </row>
    <row r="104" ht="25.05" customHeight="1">
      <c r="A104" s="4" t="n">
        <v>25219</v>
      </c>
      <c r="B104" s="4" t="inlineStr">
        <is>
          <t>GIN TANQUERAY 0.0 70 CL</t>
        </is>
      </c>
      <c r="C104" s="8" t="n">
        <v>0</v>
      </c>
      <c r="D104" s="9" t="inlineStr">
        <is>
          <t>BOTELLA</t>
        </is>
      </c>
      <c r="E104" s="10" t="n">
        <v>12.276667</v>
      </c>
      <c r="F104" s="13">
        <f>C104*E104</f>
        <v/>
      </c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  <c r="AF104" s="20" t="n"/>
      <c r="AG104" s="20" t="n"/>
      <c r="AH104" s="20" t="n"/>
      <c r="AI104" s="20" t="n"/>
      <c r="AJ104" s="20" t="n"/>
      <c r="AK104" s="20" t="n"/>
      <c r="AL104" s="21">
        <f>SUM(G104:AK104)</f>
        <v/>
      </c>
      <c r="AM104" s="22">
        <f>SUM(C104,AL104)</f>
        <v/>
      </c>
      <c r="AN104" s="23">
        <f>E104*AM104</f>
        <v/>
      </c>
    </row>
    <row r="105" ht="25.05" customHeight="1">
      <c r="A105" s="4" t="n">
        <v>11541</v>
      </c>
      <c r="B105" s="4" t="inlineStr">
        <is>
          <t>GIN TANQUERAY Nº TEN  70 CL</t>
        </is>
      </c>
      <c r="C105" s="8" t="n">
        <v>0</v>
      </c>
      <c r="D105" s="9" t="inlineStr">
        <is>
          <t>BOTELLA</t>
        </is>
      </c>
      <c r="E105" s="10" t="n">
        <v>20.299996</v>
      </c>
      <c r="F105" s="13">
        <f>C105*E105</f>
        <v/>
      </c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  <c r="AJ105" s="20" t="n"/>
      <c r="AK105" s="20" t="n"/>
      <c r="AL105" s="21">
        <f>SUM(G105:AK105)</f>
        <v/>
      </c>
      <c r="AM105" s="22">
        <f>SUM(C105,AL105)</f>
        <v/>
      </c>
      <c r="AN105" s="23">
        <f>E105*AM105</f>
        <v/>
      </c>
    </row>
    <row r="106" ht="25.05" customHeight="1">
      <c r="A106" s="4" t="n">
        <v>7556</v>
      </c>
      <c r="B106" s="4" t="inlineStr">
        <is>
          <t>BIB COCKTAIL DAIQUIRI LIMON C/ALCOHOL</t>
        </is>
      </c>
      <c r="C106" s="8" t="n">
        <v>0</v>
      </c>
      <c r="D106" s="9" t="inlineStr">
        <is>
          <t>LITRO</t>
        </is>
      </c>
      <c r="E106" s="10" t="n">
        <v>9.852850999999999</v>
      </c>
      <c r="F106" s="13">
        <f>C106*E106</f>
        <v/>
      </c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0" t="n"/>
      <c r="AF106" s="20" t="n"/>
      <c r="AG106" s="20" t="n"/>
      <c r="AH106" s="20" t="n"/>
      <c r="AI106" s="20" t="n"/>
      <c r="AJ106" s="20" t="n"/>
      <c r="AK106" s="20" t="n"/>
      <c r="AL106" s="21">
        <f>SUM(G106:AK106)</f>
        <v/>
      </c>
      <c r="AM106" s="22">
        <f>SUM(C106,AL106)</f>
        <v/>
      </c>
      <c r="AN106" s="23">
        <f>E106*AM106</f>
        <v/>
      </c>
    </row>
    <row r="107" ht="25.05" customHeight="1">
      <c r="A107" s="4" t="n">
        <v>7555</v>
      </c>
      <c r="B107" s="4" t="inlineStr">
        <is>
          <t>BIB COCKTAIL LOVE ON THE BEACH C/ALCOHOL</t>
        </is>
      </c>
      <c r="C107" s="8" t="n">
        <v>0</v>
      </c>
      <c r="D107" s="9" t="inlineStr">
        <is>
          <t>LITRO</t>
        </is>
      </c>
      <c r="E107" s="10" t="n">
        <v>9.9</v>
      </c>
      <c r="F107" s="13">
        <f>C107*E107</f>
        <v/>
      </c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  <c r="AJ107" s="20" t="n"/>
      <c r="AK107" s="20" t="n"/>
      <c r="AL107" s="21">
        <f>SUM(G107:AK107)</f>
        <v/>
      </c>
      <c r="AM107" s="22">
        <f>SUM(C107,AL107)</f>
        <v/>
      </c>
      <c r="AN107" s="23">
        <f>E107*AM107</f>
        <v/>
      </c>
    </row>
    <row r="108" ht="25.05" customHeight="1">
      <c r="A108" s="4" t="n">
        <v>27256</v>
      </c>
      <c r="B108" s="4" t="inlineStr">
        <is>
          <t>BIB COCKTAIL MANGOTINI C/ALCOHOL</t>
        </is>
      </c>
      <c r="C108" s="8" t="n">
        <v>0</v>
      </c>
      <c r="D108" s="9" t="inlineStr">
        <is>
          <t>LITRO</t>
        </is>
      </c>
      <c r="E108" s="10" t="n">
        <v>10.15847</v>
      </c>
      <c r="F108" s="13">
        <f>C108*E108</f>
        <v/>
      </c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  <c r="AF108" s="20" t="n"/>
      <c r="AG108" s="20" t="n"/>
      <c r="AH108" s="20" t="n"/>
      <c r="AI108" s="20" t="n"/>
      <c r="AJ108" s="20" t="n"/>
      <c r="AK108" s="20" t="n"/>
      <c r="AL108" s="21">
        <f>SUM(G108:AK108)</f>
        <v/>
      </c>
      <c r="AM108" s="22">
        <f>SUM(C108,AL108)</f>
        <v/>
      </c>
      <c r="AN108" s="23">
        <f>E108*AM108</f>
        <v/>
      </c>
    </row>
    <row r="109" ht="25.05" customHeight="1">
      <c r="A109" s="4" t="n">
        <v>8559</v>
      </c>
      <c r="B109" s="4" t="inlineStr">
        <is>
          <t>BIB COCKTAIL MOJITO C/ALCOHOL</t>
        </is>
      </c>
      <c r="C109" s="8" t="n">
        <v>0</v>
      </c>
      <c r="D109" s="9" t="inlineStr">
        <is>
          <t>LITRO</t>
        </is>
      </c>
      <c r="E109" s="10" t="n">
        <v>9.852999000000001</v>
      </c>
      <c r="F109" s="13">
        <f>C109*E109</f>
        <v/>
      </c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  <c r="AG109" s="20" t="n"/>
      <c r="AH109" s="20" t="n"/>
      <c r="AI109" s="20" t="n"/>
      <c r="AJ109" s="20" t="n"/>
      <c r="AK109" s="20" t="n"/>
      <c r="AL109" s="21">
        <f>SUM(G109:AK109)</f>
        <v/>
      </c>
      <c r="AM109" s="22">
        <f>SUM(C109,AL109)</f>
        <v/>
      </c>
      <c r="AN109" s="23">
        <f>E109*AM109</f>
        <v/>
      </c>
    </row>
    <row r="110" ht="25.05" customHeight="1">
      <c r="A110" s="4" t="n">
        <v>7553</v>
      </c>
      <c r="B110" s="4" t="inlineStr">
        <is>
          <t>BIB COCKTAIL PIÑA COLADA C/ALCOHOL</t>
        </is>
      </c>
      <c r="C110" s="8" t="n">
        <v>0</v>
      </c>
      <c r="D110" s="9" t="inlineStr">
        <is>
          <t>LITRO</t>
        </is>
      </c>
      <c r="E110" s="10" t="n">
        <v>10.163693</v>
      </c>
      <c r="F110" s="13">
        <f>C110*E110</f>
        <v/>
      </c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0" t="n"/>
      <c r="AF110" s="20" t="n"/>
      <c r="AG110" s="20" t="n"/>
      <c r="AH110" s="20" t="n"/>
      <c r="AI110" s="20" t="n"/>
      <c r="AJ110" s="20" t="n"/>
      <c r="AK110" s="20" t="n"/>
      <c r="AL110" s="21">
        <f>SUM(G110:AK110)</f>
        <v/>
      </c>
      <c r="AM110" s="22">
        <f>SUM(C110,AL110)</f>
        <v/>
      </c>
      <c r="AN110" s="23">
        <f>E110*AM110</f>
        <v/>
      </c>
    </row>
    <row r="111" ht="25.05" customHeight="1">
      <c r="A111" s="4" t="n">
        <v>7560</v>
      </c>
      <c r="B111" s="4" t="inlineStr">
        <is>
          <t>BIB COCKTAIL TEQUILA SUNRISE C/ALCOHOL</t>
        </is>
      </c>
      <c r="C111" s="8" t="n">
        <v>0</v>
      </c>
      <c r="D111" s="9" t="inlineStr">
        <is>
          <t>LITRO</t>
        </is>
      </c>
      <c r="E111" s="10" t="n">
        <v>9.852414</v>
      </c>
      <c r="F111" s="13">
        <f>C111*E111</f>
        <v/>
      </c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  <c r="AI111" s="20" t="n"/>
      <c r="AJ111" s="20" t="n"/>
      <c r="AK111" s="20" t="n"/>
      <c r="AL111" s="21">
        <f>SUM(G111:AK111)</f>
        <v/>
      </c>
      <c r="AM111" s="22">
        <f>SUM(C111,AL111)</f>
        <v/>
      </c>
      <c r="AN111" s="23">
        <f>E111*AM111</f>
        <v/>
      </c>
    </row>
    <row r="112" ht="25.05" customHeight="1">
      <c r="A112" s="4" t="n">
        <v>7554</v>
      </c>
      <c r="B112" s="4" t="inlineStr">
        <is>
          <t>BIB COCKTAIL VODKA SUN C/ALCOHOL</t>
        </is>
      </c>
      <c r="C112" s="8" t="n">
        <v>0</v>
      </c>
      <c r="D112" s="9" t="inlineStr">
        <is>
          <t>LITRO</t>
        </is>
      </c>
      <c r="E112" s="10" t="n">
        <v>9.853</v>
      </c>
      <c r="F112" s="13">
        <f>C112*E112</f>
        <v/>
      </c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0" t="n"/>
      <c r="AH112" s="20" t="n"/>
      <c r="AI112" s="20" t="n"/>
      <c r="AJ112" s="20" t="n"/>
      <c r="AK112" s="20" t="n"/>
      <c r="AL112" s="21">
        <f>SUM(G112:AK112)</f>
        <v/>
      </c>
      <c r="AM112" s="22">
        <f>SUM(C112,AL112)</f>
        <v/>
      </c>
      <c r="AN112" s="23">
        <f>E112*AM112</f>
        <v/>
      </c>
    </row>
    <row r="113" ht="25.05" customHeight="1">
      <c r="A113" s="4" t="n">
        <v>115</v>
      </c>
      <c r="B113" s="4" t="inlineStr">
        <is>
          <t>LICOR AMARETTO DISARONNO 70 CL</t>
        </is>
      </c>
      <c r="C113" s="8" t="n">
        <v>0</v>
      </c>
      <c r="D113" s="9" t="inlineStr">
        <is>
          <t>BOTELLA</t>
        </is>
      </c>
      <c r="E113" s="10" t="n">
        <v>12.1</v>
      </c>
      <c r="F113" s="13">
        <f>C113*E113</f>
        <v/>
      </c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  <c r="AI113" s="20" t="n"/>
      <c r="AJ113" s="20" t="n"/>
      <c r="AK113" s="20" t="n"/>
      <c r="AL113" s="21">
        <f>SUM(G113:AK113)</f>
        <v/>
      </c>
      <c r="AM113" s="22">
        <f>SUM(C113,AL113)</f>
        <v/>
      </c>
      <c r="AN113" s="23">
        <f>E113*AM113</f>
        <v/>
      </c>
    </row>
    <row r="114" ht="25.05" customHeight="1">
      <c r="A114" s="4" t="n">
        <v>118</v>
      </c>
      <c r="B114" s="4" t="inlineStr">
        <is>
          <t>LICOR ANIS MARIE BRIZARD 100 CL</t>
        </is>
      </c>
      <c r="C114" s="8" t="n">
        <v>0</v>
      </c>
      <c r="D114" s="9" t="inlineStr">
        <is>
          <t>BOTELLA</t>
        </is>
      </c>
      <c r="E114" s="10" t="n">
        <v>7.757993</v>
      </c>
      <c r="F114" s="13">
        <f>C114*E114</f>
        <v/>
      </c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0" t="n"/>
      <c r="AF114" s="20" t="n"/>
      <c r="AG114" s="20" t="n"/>
      <c r="AH114" s="20" t="n"/>
      <c r="AI114" s="20" t="n"/>
      <c r="AJ114" s="20" t="n"/>
      <c r="AK114" s="20" t="n"/>
      <c r="AL114" s="21">
        <f>SUM(G114:AK114)</f>
        <v/>
      </c>
      <c r="AM114" s="22">
        <f>SUM(C114,AL114)</f>
        <v/>
      </c>
      <c r="AN114" s="23">
        <f>E114*AM114</f>
        <v/>
      </c>
    </row>
    <row r="115" ht="25.05" customHeight="1">
      <c r="A115" s="4" t="n">
        <v>1067</v>
      </c>
      <c r="B115" s="4" t="inlineStr">
        <is>
          <t>LICOR ANIS SECO CHINCHON 100 CL</t>
        </is>
      </c>
      <c r="C115" s="8" t="n">
        <v>0</v>
      </c>
      <c r="D115" s="9" t="inlineStr">
        <is>
          <t>BOTELLA</t>
        </is>
      </c>
      <c r="E115" s="10" t="n">
        <v>9.771544</v>
      </c>
      <c r="F115" s="13">
        <f>C115*E115</f>
        <v/>
      </c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n"/>
      <c r="AG115" s="20" t="n"/>
      <c r="AH115" s="20" t="n"/>
      <c r="AI115" s="20" t="n"/>
      <c r="AJ115" s="20" t="n"/>
      <c r="AK115" s="20" t="n"/>
      <c r="AL115" s="21">
        <f>SUM(G115:AK115)</f>
        <v/>
      </c>
      <c r="AM115" s="22">
        <f>SUM(C115,AL115)</f>
        <v/>
      </c>
      <c r="AN115" s="23">
        <f>E115*AM115</f>
        <v/>
      </c>
    </row>
    <row r="116" ht="25.05" customHeight="1">
      <c r="A116" s="4" t="n">
        <v>117</v>
      </c>
      <c r="B116" s="4" t="inlineStr">
        <is>
          <t>LICOR BAILEY'S 100 CL</t>
        </is>
      </c>
      <c r="C116" s="8" t="n">
        <v>0</v>
      </c>
      <c r="D116" s="9" t="inlineStr">
        <is>
          <t>BOTELLA</t>
        </is>
      </c>
      <c r="E116" s="10" t="n">
        <v>14.447462</v>
      </c>
      <c r="F116" s="13">
        <f>C116*E116</f>
        <v/>
      </c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0" t="n"/>
      <c r="AE116" s="20" t="n"/>
      <c r="AF116" s="20" t="n"/>
      <c r="AG116" s="20" t="n"/>
      <c r="AH116" s="20" t="n"/>
      <c r="AI116" s="20" t="n"/>
      <c r="AJ116" s="20" t="n"/>
      <c r="AK116" s="20" t="n"/>
      <c r="AL116" s="21">
        <f>SUM(G116:AK116)</f>
        <v/>
      </c>
      <c r="AM116" s="22">
        <f>SUM(C116,AL116)</f>
        <v/>
      </c>
      <c r="AN116" s="23">
        <f>E116*AM116</f>
        <v/>
      </c>
    </row>
    <row r="117" ht="25.05" customHeight="1">
      <c r="A117" s="4" t="n">
        <v>228</v>
      </c>
      <c r="B117" s="4" t="inlineStr">
        <is>
          <t>LICOR COINTREAU 70 CL</t>
        </is>
      </c>
      <c r="C117" s="8" t="n">
        <v>0</v>
      </c>
      <c r="D117" s="9" t="inlineStr">
        <is>
          <t>BOTELLA</t>
        </is>
      </c>
      <c r="E117" s="10" t="n">
        <v>13.47</v>
      </c>
      <c r="F117" s="13">
        <f>C117*E117</f>
        <v/>
      </c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n"/>
      <c r="AG117" s="20" t="n"/>
      <c r="AH117" s="20" t="n"/>
      <c r="AI117" s="20" t="n"/>
      <c r="AJ117" s="20" t="n"/>
      <c r="AK117" s="20" t="n"/>
      <c r="AL117" s="21">
        <f>SUM(G117:AK117)</f>
        <v/>
      </c>
      <c r="AM117" s="22">
        <f>SUM(C117,AL117)</f>
        <v/>
      </c>
      <c r="AN117" s="23">
        <f>E117*AM117</f>
        <v/>
      </c>
    </row>
    <row r="118" ht="25.05" customHeight="1">
      <c r="A118" s="4" t="n">
        <v>18</v>
      </c>
      <c r="B118" s="4" t="inlineStr">
        <is>
          <t>LICOR LICOR 43 100 CL</t>
        </is>
      </c>
      <c r="C118" s="8" t="n">
        <v>0</v>
      </c>
      <c r="D118" s="9" t="inlineStr">
        <is>
          <t>BOTELLA</t>
        </is>
      </c>
      <c r="E118" s="10" t="n">
        <v>15.433333</v>
      </c>
      <c r="F118" s="13">
        <f>C118*E118</f>
        <v/>
      </c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0" t="n"/>
      <c r="AE118" s="20" t="n"/>
      <c r="AF118" s="20" t="n"/>
      <c r="AG118" s="20" t="n"/>
      <c r="AH118" s="20" t="n"/>
      <c r="AI118" s="20" t="n"/>
      <c r="AJ118" s="20" t="n"/>
      <c r="AK118" s="20" t="n"/>
      <c r="AL118" s="21">
        <f>SUM(G118:AK118)</f>
        <v/>
      </c>
      <c r="AM118" s="22">
        <f>SUM(C118,AL118)</f>
        <v/>
      </c>
      <c r="AN118" s="23">
        <f>E118*AM118</f>
        <v/>
      </c>
    </row>
    <row r="119" ht="25.05" customHeight="1">
      <c r="A119" s="4" t="n">
        <v>25824</v>
      </c>
      <c r="B119" s="4" t="inlineStr">
        <is>
          <t>LICOR LIMONCELLO VILLA MASSA 70 CL</t>
        </is>
      </c>
      <c r="C119" s="8" t="n">
        <v>0</v>
      </c>
      <c r="D119" s="9" t="inlineStr">
        <is>
          <t>BOTELLA</t>
        </is>
      </c>
      <c r="E119" s="10" t="n">
        <v>11.11</v>
      </c>
      <c r="F119" s="13">
        <f>C119*E119</f>
        <v/>
      </c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  <c r="AG119" s="20" t="n"/>
      <c r="AH119" s="20" t="n"/>
      <c r="AI119" s="20" t="n"/>
      <c r="AJ119" s="20" t="n"/>
      <c r="AK119" s="20" t="n"/>
      <c r="AL119" s="21">
        <f>SUM(G119:AK119)</f>
        <v/>
      </c>
      <c r="AM119" s="22">
        <f>SUM(C119,AL119)</f>
        <v/>
      </c>
      <c r="AN119" s="23">
        <f>E119*AM119</f>
        <v/>
      </c>
    </row>
    <row r="120" ht="25.05" customHeight="1">
      <c r="A120" s="4" t="n">
        <v>1173</v>
      </c>
      <c r="B120" s="4" t="inlineStr">
        <is>
          <t>LICOR MALIBU 70 CL</t>
        </is>
      </c>
      <c r="C120" s="8" t="n">
        <v>0</v>
      </c>
      <c r="D120" s="9" t="inlineStr">
        <is>
          <t>BOTELLA</t>
        </is>
      </c>
      <c r="E120" s="10" t="n">
        <v>10.5</v>
      </c>
      <c r="F120" s="13">
        <f>C120*E120</f>
        <v/>
      </c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0" t="n"/>
      <c r="AE120" s="20" t="n"/>
      <c r="AF120" s="20" t="n"/>
      <c r="AG120" s="20" t="n"/>
      <c r="AH120" s="20" t="n"/>
      <c r="AI120" s="20" t="n"/>
      <c r="AJ120" s="20" t="n"/>
      <c r="AK120" s="20" t="n"/>
      <c r="AL120" s="21">
        <f>SUM(G120:AK120)</f>
        <v/>
      </c>
      <c r="AM120" s="22">
        <f>SUM(C120,AL120)</f>
        <v/>
      </c>
      <c r="AN120" s="23">
        <f>E120*AM120</f>
        <v/>
      </c>
    </row>
    <row r="121" ht="25.05" customHeight="1">
      <c r="A121" s="4" t="n">
        <v>2140</v>
      </c>
      <c r="B121" s="4" t="inlineStr">
        <is>
          <t>LICOR MANZANA VERDE 70 CL</t>
        </is>
      </c>
      <c r="C121" s="8" t="n">
        <v>0</v>
      </c>
      <c r="D121" s="9" t="inlineStr">
        <is>
          <t>BOTELLA</t>
        </is>
      </c>
      <c r="E121" s="10" t="n">
        <v>4.636474</v>
      </c>
      <c r="F121" s="13">
        <f>C121*E121</f>
        <v/>
      </c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n"/>
      <c r="AG121" s="20" t="n"/>
      <c r="AH121" s="20" t="n"/>
      <c r="AI121" s="20" t="n"/>
      <c r="AJ121" s="20" t="n"/>
      <c r="AK121" s="20" t="n"/>
      <c r="AL121" s="21">
        <f>SUM(G121:AK121)</f>
        <v/>
      </c>
      <c r="AM121" s="22">
        <f>SUM(C121,AL121)</f>
        <v/>
      </c>
      <c r="AN121" s="23">
        <f>E121*AM121</f>
        <v/>
      </c>
    </row>
    <row r="122" ht="25.05" customHeight="1">
      <c r="A122" s="4" t="n">
        <v>2670</v>
      </c>
      <c r="B122" s="4" t="inlineStr">
        <is>
          <t>LICOR MELOCOTON 100 CL</t>
        </is>
      </c>
      <c r="C122" s="8" t="n">
        <v>0</v>
      </c>
      <c r="D122" s="9" t="inlineStr">
        <is>
          <t>BOTELLA</t>
        </is>
      </c>
      <c r="E122" s="10" t="n">
        <v>4.158111</v>
      </c>
      <c r="F122" s="13">
        <f>C122*E122</f>
        <v/>
      </c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0" t="n"/>
      <c r="AF122" s="20" t="n"/>
      <c r="AG122" s="20" t="n"/>
      <c r="AH122" s="20" t="n"/>
      <c r="AI122" s="20" t="n"/>
      <c r="AJ122" s="20" t="n"/>
      <c r="AK122" s="20" t="n"/>
      <c r="AL122" s="21">
        <f>SUM(G122:AK122)</f>
        <v/>
      </c>
      <c r="AM122" s="22">
        <f>SUM(C122,AL122)</f>
        <v/>
      </c>
      <c r="AN122" s="23">
        <f>E122*AM122</f>
        <v/>
      </c>
    </row>
    <row r="123" ht="25.05" customHeight="1">
      <c r="A123" s="4" t="n">
        <v>920967</v>
      </c>
      <c r="B123" s="4" t="inlineStr">
        <is>
          <t>LICOR PACHARAN ZOCO 100 CL</t>
        </is>
      </c>
      <c r="C123" s="8" t="n">
        <v>0</v>
      </c>
      <c r="D123" s="9" t="inlineStr">
        <is>
          <t>BOTELLA</t>
        </is>
      </c>
      <c r="E123" s="10" t="n">
        <v>10.009958</v>
      </c>
      <c r="F123" s="13">
        <f>C123*E123</f>
        <v/>
      </c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1">
        <f>SUM(G123:AK123)</f>
        <v/>
      </c>
      <c r="AM123" s="22">
        <f>SUM(C123,AL123)</f>
        <v/>
      </c>
      <c r="AN123" s="23">
        <f>E123*AM123</f>
        <v/>
      </c>
    </row>
    <row r="124" ht="25.05" customHeight="1">
      <c r="A124" s="4" t="n">
        <v>121</v>
      </c>
      <c r="B124" s="4" t="inlineStr">
        <is>
          <t>LICOR TIA MARIA 70 CL</t>
        </is>
      </c>
      <c r="C124" s="8" t="n">
        <v>0</v>
      </c>
      <c r="D124" s="9" t="inlineStr">
        <is>
          <t>BOTELLA</t>
        </is>
      </c>
      <c r="E124" s="10" t="n">
        <v>11.609006</v>
      </c>
      <c r="F124" s="13">
        <f>C124*E124</f>
        <v/>
      </c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0" t="n"/>
      <c r="AL124" s="21">
        <f>SUM(G124:AK124)</f>
        <v/>
      </c>
      <c r="AM124" s="22">
        <f>SUM(C124,AL124)</f>
        <v/>
      </c>
      <c r="AN124" s="23">
        <f>E124*AM124</f>
        <v/>
      </c>
    </row>
    <row r="125" ht="25.05" customHeight="1">
      <c r="A125" s="4" t="n">
        <v>19849</v>
      </c>
      <c r="B125" s="4" t="inlineStr">
        <is>
          <t>BIB COCKTAIL BAHIA S/ALCOHOL</t>
        </is>
      </c>
      <c r="C125" s="8" t="n">
        <v>0</v>
      </c>
      <c r="D125" s="9" t="inlineStr">
        <is>
          <t>LITRO</t>
        </is>
      </c>
      <c r="E125" s="10" t="n">
        <v>5.785538</v>
      </c>
      <c r="F125" s="13">
        <f>C125*E125</f>
        <v/>
      </c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n"/>
      <c r="AJ125" s="20" t="n"/>
      <c r="AK125" s="20" t="n"/>
      <c r="AL125" s="21">
        <f>SUM(G125:AK125)</f>
        <v/>
      </c>
      <c r="AM125" s="22">
        <f>SUM(C125,AL125)</f>
        <v/>
      </c>
      <c r="AN125" s="23">
        <f>E125*AM125</f>
        <v/>
      </c>
    </row>
    <row r="126" ht="25.05" customHeight="1">
      <c r="A126" s="4" t="n">
        <v>28911</v>
      </c>
      <c r="B126" s="4" t="inlineStr">
        <is>
          <t>BIB COCKTAIL SAN BORONDON S/ALCOHOL 10 LT</t>
        </is>
      </c>
      <c r="C126" s="8" t="n">
        <v>0</v>
      </c>
      <c r="D126" s="9" t="inlineStr">
        <is>
          <t>LITRO</t>
        </is>
      </c>
      <c r="E126" s="10" t="n">
        <v>5.746</v>
      </c>
      <c r="F126" s="13">
        <f>C126*E126</f>
        <v/>
      </c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  <c r="AJ126" s="20" t="n"/>
      <c r="AK126" s="20" t="n"/>
      <c r="AL126" s="21">
        <f>SUM(G126:AK126)</f>
        <v/>
      </c>
      <c r="AM126" s="22">
        <f>SUM(C126,AL126)</f>
        <v/>
      </c>
      <c r="AN126" s="23">
        <f>E126*AM126</f>
        <v/>
      </c>
    </row>
    <row r="127" ht="25.05" customHeight="1">
      <c r="A127" s="4" t="n">
        <v>20425</v>
      </c>
      <c r="B127" s="4" t="inlineStr">
        <is>
          <t>BIB COCKTAIL STELLA S/ALCOHOL</t>
        </is>
      </c>
      <c r="C127" s="8" t="n">
        <v>0</v>
      </c>
      <c r="D127" s="9" t="inlineStr">
        <is>
          <t>LITRO</t>
        </is>
      </c>
      <c r="E127" s="10" t="n">
        <v>5.785599</v>
      </c>
      <c r="F127" s="13">
        <f>C127*E127</f>
        <v/>
      </c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1">
        <f>SUM(G127:AK127)</f>
        <v/>
      </c>
      <c r="AM127" s="22">
        <f>SUM(C127,AL127)</f>
        <v/>
      </c>
      <c r="AN127" s="23">
        <f>E127*AM127</f>
        <v/>
      </c>
    </row>
    <row r="128" ht="25.05" customHeight="1">
      <c r="A128" s="4" t="n">
        <v>24747</v>
      </c>
      <c r="B128" s="4" t="inlineStr">
        <is>
          <t>COCKTAIL CONCENTRADO FRUIT PUNCH S/ALCOHOL 10 LT</t>
        </is>
      </c>
      <c r="C128" s="8" t="n">
        <v>0</v>
      </c>
      <c r="D128" s="9" t="inlineStr">
        <is>
          <t>LITRO</t>
        </is>
      </c>
      <c r="E128" s="10" t="n">
        <v>5.7856</v>
      </c>
      <c r="F128" s="13">
        <f>C128*E128</f>
        <v/>
      </c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n"/>
      <c r="AG128" s="20" t="n"/>
      <c r="AH128" s="20" t="n"/>
      <c r="AI128" s="20" t="n"/>
      <c r="AJ128" s="20" t="n"/>
      <c r="AK128" s="20" t="n"/>
      <c r="AL128" s="21">
        <f>SUM(G128:AK128)</f>
        <v/>
      </c>
      <c r="AM128" s="22">
        <f>SUM(C128,AL128)</f>
        <v/>
      </c>
      <c r="AN128" s="23">
        <f>E128*AM128</f>
        <v/>
      </c>
    </row>
    <row r="129" ht="25.05" customHeight="1">
      <c r="A129" s="4" t="n">
        <v>51</v>
      </c>
      <c r="B129" s="4" t="inlineStr">
        <is>
          <t>JARABE GRANADINA 100 CL</t>
        </is>
      </c>
      <c r="C129" s="8" t="n">
        <v>0</v>
      </c>
      <c r="D129" s="9" t="inlineStr">
        <is>
          <t>BOTELLA</t>
        </is>
      </c>
      <c r="E129" s="10" t="n">
        <v>3.060823</v>
      </c>
      <c r="F129" s="13">
        <f>C129*E129</f>
        <v/>
      </c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1">
        <f>SUM(G129:AK129)</f>
        <v/>
      </c>
      <c r="AM129" s="22">
        <f>SUM(C129,AL129)</f>
        <v/>
      </c>
      <c r="AN129" s="23">
        <f>E129*AM129</f>
        <v/>
      </c>
    </row>
    <row r="130" ht="25.05" customHeight="1">
      <c r="A130" s="4" t="n">
        <v>952</v>
      </c>
      <c r="B130" s="4" t="inlineStr">
        <is>
          <t>JARABE LIME JUICE 100 CL</t>
        </is>
      </c>
      <c r="C130" s="8" t="n">
        <v>0</v>
      </c>
      <c r="D130" s="9" t="inlineStr">
        <is>
          <t>BOTELLA</t>
        </is>
      </c>
      <c r="E130" s="10" t="n">
        <v>2.63</v>
      </c>
      <c r="F130" s="13">
        <f>C130*E130</f>
        <v/>
      </c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/>
      <c r="AH130" s="20" t="n"/>
      <c r="AI130" s="20" t="n"/>
      <c r="AJ130" s="20" t="n"/>
      <c r="AK130" s="20" t="n"/>
      <c r="AL130" s="21">
        <f>SUM(G130:AK130)</f>
        <v/>
      </c>
      <c r="AM130" s="22">
        <f>SUM(C130,AL130)</f>
        <v/>
      </c>
      <c r="AN130" s="23">
        <f>E130*AM130</f>
        <v/>
      </c>
    </row>
    <row r="131" ht="25.05" customHeight="1">
      <c r="A131" s="4" t="n">
        <v>6171</v>
      </c>
      <c r="B131" s="4" t="inlineStr">
        <is>
          <t>LICOR MANZANA S/ALCOHOL 70 CL</t>
        </is>
      </c>
      <c r="C131" s="8" t="n">
        <v>0</v>
      </c>
      <c r="D131" s="9" t="inlineStr">
        <is>
          <t>BOTELLA</t>
        </is>
      </c>
      <c r="E131" s="10" t="n">
        <v>3.459693</v>
      </c>
      <c r="F131" s="13">
        <f>C131*E131</f>
        <v/>
      </c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1">
        <f>SUM(G131:AK131)</f>
        <v/>
      </c>
      <c r="AM131" s="22">
        <f>SUM(C131,AL131)</f>
        <v/>
      </c>
      <c r="AN131" s="23">
        <f>E131*AM131</f>
        <v/>
      </c>
    </row>
    <row r="132" ht="25.05" customHeight="1">
      <c r="A132" s="4" t="n">
        <v>6170</v>
      </c>
      <c r="B132" s="4" t="inlineStr">
        <is>
          <t>LICOR MELOCOTON S/ALCOHOL 70 CL</t>
        </is>
      </c>
      <c r="C132" s="8" t="n">
        <v>0</v>
      </c>
      <c r="D132" s="9" t="inlineStr">
        <is>
          <t>BOTELLA</t>
        </is>
      </c>
      <c r="E132" s="10" t="n">
        <v>3.129988</v>
      </c>
      <c r="F132" s="13">
        <f>C132*E132</f>
        <v/>
      </c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  <c r="AL132" s="21">
        <f>SUM(G132:AK132)</f>
        <v/>
      </c>
      <c r="AM132" s="22">
        <f>SUM(C132,AL132)</f>
        <v/>
      </c>
      <c r="AN132" s="23">
        <f>E132*AM132</f>
        <v/>
      </c>
    </row>
    <row r="133" ht="25.05" customHeight="1">
      <c r="A133" s="4" t="n">
        <v>11243</v>
      </c>
      <c r="B133" s="4" t="inlineStr">
        <is>
          <t>PURE FRUTA FRESA 100 CL</t>
        </is>
      </c>
      <c r="C133" s="8" t="n">
        <v>0</v>
      </c>
      <c r="D133" s="9" t="inlineStr">
        <is>
          <t>BOTELLA</t>
        </is>
      </c>
      <c r="E133" s="10" t="n">
        <v>16.89</v>
      </c>
      <c r="F133" s="13">
        <f>C133*E133</f>
        <v/>
      </c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1">
        <f>SUM(G133:AK133)</f>
        <v/>
      </c>
      <c r="AM133" s="22">
        <f>SUM(C133,AL133)</f>
        <v/>
      </c>
      <c r="AN133" s="23">
        <f>E133*AM133</f>
        <v/>
      </c>
    </row>
    <row r="134" ht="25.05" customHeight="1">
      <c r="A134" s="4" t="n">
        <v>173</v>
      </c>
      <c r="B134" s="4" t="inlineStr">
        <is>
          <t>REFRESCO BIB COCA COLA</t>
        </is>
      </c>
      <c r="C134" s="8" t="n">
        <v>0</v>
      </c>
      <c r="D134" s="9" t="inlineStr">
        <is>
          <t>LITRO</t>
        </is>
      </c>
      <c r="E134" s="10" t="n">
        <v>7.021113</v>
      </c>
      <c r="F134" s="13">
        <f>C134*E134</f>
        <v/>
      </c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n"/>
      <c r="AG134" s="20" t="n"/>
      <c r="AH134" s="20" t="n"/>
      <c r="AI134" s="20" t="n"/>
      <c r="AJ134" s="20" t="n"/>
      <c r="AK134" s="20" t="n"/>
      <c r="AL134" s="21">
        <f>SUM(G134:AK134)</f>
        <v/>
      </c>
      <c r="AM134" s="22">
        <f>SUM(C134,AL134)</f>
        <v/>
      </c>
      <c r="AN134" s="23">
        <f>E134*AM134</f>
        <v/>
      </c>
    </row>
    <row r="135" ht="25.05" customHeight="1">
      <c r="A135" s="4" t="n">
        <v>9155</v>
      </c>
      <c r="B135" s="4" t="inlineStr">
        <is>
          <t>REFRESCO BIB COCA COLA ZERO</t>
        </is>
      </c>
      <c r="C135" s="8" t="n">
        <v>0</v>
      </c>
      <c r="D135" s="9" t="inlineStr">
        <is>
          <t>LITRO</t>
        </is>
      </c>
      <c r="E135" s="10" t="n">
        <v>7.017727</v>
      </c>
      <c r="F135" s="13">
        <f>C135*E135</f>
        <v/>
      </c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1">
        <f>SUM(G135:AK135)</f>
        <v/>
      </c>
      <c r="AM135" s="22">
        <f>SUM(C135,AL135)</f>
        <v/>
      </c>
      <c r="AN135" s="23">
        <f>E135*AM135</f>
        <v/>
      </c>
    </row>
    <row r="136" ht="25.05" customHeight="1">
      <c r="A136" s="4" t="n">
        <v>21366</v>
      </c>
      <c r="B136" s="4" t="inlineStr">
        <is>
          <t>REFRESCO BIB FANTA LIMON ZERO</t>
        </is>
      </c>
      <c r="C136" s="8" t="n">
        <v>0</v>
      </c>
      <c r="D136" s="9" t="inlineStr">
        <is>
          <t>LITRO</t>
        </is>
      </c>
      <c r="E136" s="10" t="n">
        <v>5.971363</v>
      </c>
      <c r="F136" s="13">
        <f>C136*E136</f>
        <v/>
      </c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1">
        <f>SUM(G136:AK136)</f>
        <v/>
      </c>
      <c r="AM136" s="22">
        <f>SUM(C136,AL136)</f>
        <v/>
      </c>
      <c r="AN136" s="23">
        <f>E136*AM136</f>
        <v/>
      </c>
    </row>
    <row r="137" ht="25.05" customHeight="1">
      <c r="A137" s="4" t="n">
        <v>21367</v>
      </c>
      <c r="B137" s="4" t="inlineStr">
        <is>
          <t>REFRESCO BIB FANTA NARANJA ZERO</t>
        </is>
      </c>
      <c r="C137" s="8" t="n">
        <v>0</v>
      </c>
      <c r="D137" s="9" t="inlineStr">
        <is>
          <t>LITRO</t>
        </is>
      </c>
      <c r="E137" s="10" t="n">
        <v>5.970082</v>
      </c>
      <c r="F137" s="13">
        <f>C137*E137</f>
        <v/>
      </c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1">
        <f>SUM(G137:AK137)</f>
        <v/>
      </c>
      <c r="AM137" s="22">
        <f>SUM(C137,AL137)</f>
        <v/>
      </c>
      <c r="AN137" s="23">
        <f>E137*AM137</f>
        <v/>
      </c>
    </row>
    <row r="138" ht="25.05" customHeight="1">
      <c r="A138" s="4" t="n">
        <v>7563</v>
      </c>
      <c r="B138" s="4" t="inlineStr">
        <is>
          <t>REFRESCO BIB SAN FRANCISCO FREE S/ALCOHOL</t>
        </is>
      </c>
      <c r="C138" s="8" t="n">
        <v>0</v>
      </c>
      <c r="D138" s="9" t="inlineStr">
        <is>
          <t>LITRO</t>
        </is>
      </c>
      <c r="E138" s="10" t="n">
        <v>5.785597</v>
      </c>
      <c r="F138" s="13">
        <f>C138*E138</f>
        <v/>
      </c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n"/>
      <c r="AG138" s="20" t="n"/>
      <c r="AH138" s="20" t="n"/>
      <c r="AI138" s="20" t="n"/>
      <c r="AJ138" s="20" t="n"/>
      <c r="AK138" s="20" t="n"/>
      <c r="AL138" s="21">
        <f>SUM(G138:AK138)</f>
        <v/>
      </c>
      <c r="AM138" s="22">
        <f>SUM(C138,AL138)</f>
        <v/>
      </c>
      <c r="AN138" s="23">
        <f>E138*AM138</f>
        <v/>
      </c>
    </row>
    <row r="139" ht="25.05" customHeight="1">
      <c r="A139" s="4" t="n">
        <v>26662</v>
      </c>
      <c r="B139" s="4" t="inlineStr">
        <is>
          <t>REFRESCO BIB SPRITE ZERO</t>
        </is>
      </c>
      <c r="C139" s="8" t="n">
        <v>0</v>
      </c>
      <c r="D139" s="9" t="inlineStr">
        <is>
          <t>LITRO</t>
        </is>
      </c>
      <c r="E139" s="10" t="n">
        <v>7.064839</v>
      </c>
      <c r="F139" s="13">
        <f>C139*E139</f>
        <v/>
      </c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/>
      <c r="AH139" s="20" t="n"/>
      <c r="AI139" s="20" t="n"/>
      <c r="AJ139" s="20" t="n"/>
      <c r="AK139" s="20" t="n"/>
      <c r="AL139" s="21">
        <f>SUM(G139:AK139)</f>
        <v/>
      </c>
      <c r="AM139" s="22">
        <f>SUM(C139,AL139)</f>
        <v/>
      </c>
      <c r="AN139" s="23">
        <f>E139*AM139</f>
        <v/>
      </c>
    </row>
    <row r="140" ht="25.05" customHeight="1">
      <c r="A140" s="4" t="n">
        <v>4098</v>
      </c>
      <c r="B140" s="4" t="inlineStr">
        <is>
          <t>REFRESCO BIB TONICA NORDIC MIST</t>
        </is>
      </c>
      <c r="C140" s="8" t="n">
        <v>0</v>
      </c>
      <c r="D140" s="9" t="inlineStr">
        <is>
          <t>LITRO</t>
        </is>
      </c>
      <c r="E140" s="10" t="n">
        <v>7.680572</v>
      </c>
      <c r="F140" s="13">
        <f>C140*E140</f>
        <v/>
      </c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0" t="n"/>
      <c r="AF140" s="20" t="n"/>
      <c r="AG140" s="20" t="n"/>
      <c r="AH140" s="20" t="n"/>
      <c r="AI140" s="20" t="n"/>
      <c r="AJ140" s="20" t="n"/>
      <c r="AK140" s="20" t="n"/>
      <c r="AL140" s="21">
        <f>SUM(G140:AK140)</f>
        <v/>
      </c>
      <c r="AM140" s="22">
        <f>SUM(C140,AL140)</f>
        <v/>
      </c>
      <c r="AN140" s="23">
        <f>E140*AM140</f>
        <v/>
      </c>
    </row>
    <row r="141" ht="25.05" customHeight="1">
      <c r="A141" s="4" t="n">
        <v>26193</v>
      </c>
      <c r="B141" s="4" t="inlineStr">
        <is>
          <t>REFRESCO CRISTAL BITTER ROYAL BLISS ROSSO S/R 20 CL</t>
        </is>
      </c>
      <c r="C141" s="8" t="n">
        <v>0</v>
      </c>
      <c r="D141" s="9" t="inlineStr">
        <is>
          <t>BOTELLA</t>
        </is>
      </c>
      <c r="E141" s="10" t="n">
        <v>0.659342</v>
      </c>
      <c r="F141" s="13">
        <f>C141*E141</f>
        <v/>
      </c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0" t="n"/>
      <c r="AF141" s="20" t="n"/>
      <c r="AG141" s="20" t="n"/>
      <c r="AH141" s="20" t="n"/>
      <c r="AI141" s="20" t="n"/>
      <c r="AJ141" s="20" t="n"/>
      <c r="AK141" s="20" t="n"/>
      <c r="AL141" s="21">
        <f>SUM(G141:AK141)</f>
        <v/>
      </c>
      <c r="AM141" s="22">
        <f>SUM(C141,AL141)</f>
        <v/>
      </c>
      <c r="AN141" s="23">
        <f>E141*AM141</f>
        <v/>
      </c>
    </row>
    <row r="142" ht="25.05" customHeight="1">
      <c r="A142" s="4" t="n">
        <v>17110</v>
      </c>
      <c r="B142" s="4" t="inlineStr">
        <is>
          <t>REFRESCO CRISTAL COCA COLA C/R 23.7 CL</t>
        </is>
      </c>
      <c r="C142" s="8" t="n">
        <v>0</v>
      </c>
      <c r="D142" s="9" t="inlineStr">
        <is>
          <t>BOTELLA</t>
        </is>
      </c>
      <c r="E142" s="10" t="n">
        <v>0.424145</v>
      </c>
      <c r="F142" s="13">
        <f>C142*E142</f>
        <v/>
      </c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  <c r="AF142" s="20" t="n"/>
      <c r="AG142" s="20" t="n"/>
      <c r="AH142" s="20" t="n"/>
      <c r="AI142" s="20" t="n"/>
      <c r="AJ142" s="20" t="n"/>
      <c r="AK142" s="20" t="n"/>
      <c r="AL142" s="21">
        <f>SUM(G142:AK142)</f>
        <v/>
      </c>
      <c r="AM142" s="22">
        <f>SUM(C142,AL142)</f>
        <v/>
      </c>
      <c r="AN142" s="23">
        <f>E142*AM142</f>
        <v/>
      </c>
    </row>
    <row r="143" ht="25.05" customHeight="1">
      <c r="A143" s="4" t="n">
        <v>17111</v>
      </c>
      <c r="B143" s="4" t="inlineStr">
        <is>
          <t>REFRESCO CRISTAL COCA COLA ZERO C/R 23.7 CL</t>
        </is>
      </c>
      <c r="C143" s="8" t="n">
        <v>0</v>
      </c>
      <c r="D143" s="9" t="inlineStr">
        <is>
          <t>BOTELLA</t>
        </is>
      </c>
      <c r="E143" s="10" t="n">
        <v>0.42435</v>
      </c>
      <c r="F143" s="13">
        <f>C143*E143</f>
        <v/>
      </c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1">
        <f>SUM(G143:AK143)</f>
        <v/>
      </c>
      <c r="AM143" s="22">
        <f>SUM(C143,AL143)</f>
        <v/>
      </c>
      <c r="AN143" s="23">
        <f>E143*AM143</f>
        <v/>
      </c>
    </row>
    <row r="144" ht="25.05" customHeight="1">
      <c r="A144" s="4" t="n">
        <v>19391</v>
      </c>
      <c r="B144" s="4" t="inlineStr">
        <is>
          <t>REFRESCO CRISTAL FANTA LIMON C/R 23.7 CL</t>
        </is>
      </c>
      <c r="C144" s="8" t="n">
        <v>0</v>
      </c>
      <c r="D144" s="9" t="inlineStr">
        <is>
          <t>BOTELLA</t>
        </is>
      </c>
      <c r="E144" s="10" t="n">
        <v>0.394998</v>
      </c>
      <c r="F144" s="13">
        <f>C144*E144</f>
        <v/>
      </c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n"/>
      <c r="AG144" s="20" t="n"/>
      <c r="AH144" s="20" t="n"/>
      <c r="AI144" s="20" t="n"/>
      <c r="AJ144" s="20" t="n"/>
      <c r="AK144" s="20" t="n"/>
      <c r="AL144" s="21">
        <f>SUM(G144:AK144)</f>
        <v/>
      </c>
      <c r="AM144" s="22">
        <f>SUM(C144,AL144)</f>
        <v/>
      </c>
      <c r="AN144" s="23">
        <f>E144*AM144</f>
        <v/>
      </c>
    </row>
    <row r="145" ht="25.05" customHeight="1">
      <c r="A145" s="4" t="n">
        <v>19392</v>
      </c>
      <c r="B145" s="4" t="inlineStr">
        <is>
          <t>REFRESCO CRISTAL FANTA NARANJA C/R 23.7 CL</t>
        </is>
      </c>
      <c r="C145" s="8" t="n">
        <v>0</v>
      </c>
      <c r="D145" s="9" t="inlineStr">
        <is>
          <t>BOTELLA</t>
        </is>
      </c>
      <c r="E145" s="10" t="n">
        <v>0.396223</v>
      </c>
      <c r="F145" s="13">
        <f>C145*E145</f>
        <v/>
      </c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1">
        <f>SUM(G145:AK145)</f>
        <v/>
      </c>
      <c r="AM145" s="22">
        <f>SUM(C145,AL145)</f>
        <v/>
      </c>
      <c r="AN145" s="23">
        <f>E145*AM145</f>
        <v/>
      </c>
    </row>
    <row r="146" ht="25.05" customHeight="1">
      <c r="A146" s="4" t="n">
        <v>19113</v>
      </c>
      <c r="B146" s="4" t="inlineStr">
        <is>
          <t>REFRESCO CRISTAL GINGER ALE ROYAL BLISS S/R 20 CL</t>
        </is>
      </c>
      <c r="C146" s="8" t="n">
        <v>0</v>
      </c>
      <c r="D146" s="9" t="inlineStr">
        <is>
          <t>BOTELLA</t>
        </is>
      </c>
      <c r="E146" s="10" t="n">
        <v>0.69125</v>
      </c>
      <c r="F146" s="13">
        <f>C146*E146</f>
        <v/>
      </c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0" t="n"/>
      <c r="AF146" s="20" t="n"/>
      <c r="AG146" s="20" t="n"/>
      <c r="AH146" s="20" t="n"/>
      <c r="AI146" s="20" t="n"/>
      <c r="AJ146" s="20" t="n"/>
      <c r="AK146" s="20" t="n"/>
      <c r="AL146" s="21">
        <f>SUM(G146:AK146)</f>
        <v/>
      </c>
      <c r="AM146" s="22">
        <f>SUM(C146,AL146)</f>
        <v/>
      </c>
      <c r="AN146" s="23">
        <f>E146*AM146</f>
        <v/>
      </c>
    </row>
    <row r="147" ht="25.05" customHeight="1">
      <c r="A147" s="4" t="n">
        <v>1802</v>
      </c>
      <c r="B147" s="4" t="inlineStr">
        <is>
          <t>REFRESCO CRISTAL SPRITE C/R 20 CL</t>
        </is>
      </c>
      <c r="C147" s="8" t="n">
        <v>0</v>
      </c>
      <c r="D147" s="9" t="inlineStr">
        <is>
          <t>BOTELLA</t>
        </is>
      </c>
      <c r="E147" s="10" t="n">
        <v>0.359335</v>
      </c>
      <c r="F147" s="13">
        <f>C147*E147</f>
        <v/>
      </c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  <c r="AE147" s="20" t="n"/>
      <c r="AF147" s="20" t="n"/>
      <c r="AG147" s="20" t="n"/>
      <c r="AH147" s="20" t="n"/>
      <c r="AI147" s="20" t="n"/>
      <c r="AJ147" s="20" t="n"/>
      <c r="AK147" s="20" t="n"/>
      <c r="AL147" s="21">
        <f>SUM(G147:AK147)</f>
        <v/>
      </c>
      <c r="AM147" s="22">
        <f>SUM(C147,AL147)</f>
        <v/>
      </c>
      <c r="AN147" s="23">
        <f>E147*AM147</f>
        <v/>
      </c>
    </row>
    <row r="148" ht="25.05" customHeight="1">
      <c r="A148" s="4" t="n">
        <v>12995</v>
      </c>
      <c r="B148" s="4" t="inlineStr">
        <is>
          <t>REFRESCO CRISTAL TONICA 1724 S/R 20 CL</t>
        </is>
      </c>
      <c r="C148" s="8" t="n">
        <v>0</v>
      </c>
      <c r="D148" s="9" t="inlineStr">
        <is>
          <t>BOTELLA</t>
        </is>
      </c>
      <c r="E148" s="10" t="n">
        <v>1.149999</v>
      </c>
      <c r="F148" s="13">
        <f>C148*E148</f>
        <v/>
      </c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0" t="n"/>
      <c r="AF148" s="20" t="n"/>
      <c r="AG148" s="20" t="n"/>
      <c r="AH148" s="20" t="n"/>
      <c r="AI148" s="20" t="n"/>
      <c r="AJ148" s="20" t="n"/>
      <c r="AK148" s="20" t="n"/>
      <c r="AL148" s="21">
        <f>SUM(G148:AK148)</f>
        <v/>
      </c>
      <c r="AM148" s="22">
        <f>SUM(C148,AL148)</f>
        <v/>
      </c>
      <c r="AN148" s="23">
        <f>E148*AM148</f>
        <v/>
      </c>
    </row>
    <row r="149" ht="25.05" customHeight="1">
      <c r="A149" s="4" t="n">
        <v>4100</v>
      </c>
      <c r="B149" s="4" t="inlineStr">
        <is>
          <t>REFRESCO CRISTAL TONICA NORDIC MIST C/R 20 CL</t>
        </is>
      </c>
      <c r="C149" s="8" t="n">
        <v>0</v>
      </c>
      <c r="D149" s="9" t="inlineStr">
        <is>
          <t>BOTELLA</t>
        </is>
      </c>
      <c r="E149" s="10" t="n">
        <v>0.411875</v>
      </c>
      <c r="F149" s="13">
        <f>C149*E149</f>
        <v/>
      </c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  <c r="AE149" s="20" t="n"/>
      <c r="AF149" s="20" t="n"/>
      <c r="AG149" s="20" t="n"/>
      <c r="AH149" s="20" t="n"/>
      <c r="AI149" s="20" t="n"/>
      <c r="AJ149" s="20" t="n"/>
      <c r="AK149" s="20" t="n"/>
      <c r="AL149" s="21">
        <f>SUM(G149:AK149)</f>
        <v/>
      </c>
      <c r="AM149" s="22">
        <f>SUM(C149,AL149)</f>
        <v/>
      </c>
      <c r="AN149" s="23">
        <f>E149*AM149</f>
        <v/>
      </c>
    </row>
    <row r="150" ht="25.05" customHeight="1">
      <c r="A150" s="4" t="n">
        <v>19112</v>
      </c>
      <c r="B150" s="4" t="inlineStr">
        <is>
          <t>REFRESCO CRISTAL TONICA ROYAL BLISS BERRY C/R 20 CL</t>
        </is>
      </c>
      <c r="C150" s="8" t="n">
        <v>0</v>
      </c>
      <c r="D150" s="9" t="inlineStr">
        <is>
          <t>BOTELLA</t>
        </is>
      </c>
      <c r="E150" s="10" t="n">
        <v>0.63958</v>
      </c>
      <c r="F150" s="13">
        <f>C150*E150</f>
        <v/>
      </c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0" t="n"/>
      <c r="AF150" s="20" t="n"/>
      <c r="AG150" s="20" t="n"/>
      <c r="AH150" s="20" t="n"/>
      <c r="AI150" s="20" t="n"/>
      <c r="AJ150" s="20" t="n"/>
      <c r="AK150" s="20" t="n"/>
      <c r="AL150" s="21">
        <f>SUM(G150:AK150)</f>
        <v/>
      </c>
      <c r="AM150" s="22">
        <f>SUM(C150,AL150)</f>
        <v/>
      </c>
      <c r="AN150" s="23">
        <f>E150*AM150</f>
        <v/>
      </c>
    </row>
    <row r="151" ht="25.05" customHeight="1">
      <c r="A151" s="4" t="n">
        <v>19108</v>
      </c>
      <c r="B151" s="4" t="inlineStr">
        <is>
          <t>REFRESCO CRISTAL TONICA ROYAL BLISS C/R 20 CL</t>
        </is>
      </c>
      <c r="C151" s="8" t="n">
        <v>0</v>
      </c>
      <c r="D151" s="9" t="inlineStr">
        <is>
          <t>BOTELLA</t>
        </is>
      </c>
      <c r="E151" s="10" t="n">
        <v>0.612858</v>
      </c>
      <c r="F151" s="13">
        <f>C151*E151</f>
        <v/>
      </c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  <c r="AI151" s="20" t="n"/>
      <c r="AJ151" s="20" t="n"/>
      <c r="AK151" s="20" t="n"/>
      <c r="AL151" s="21">
        <f>SUM(G151:AK151)</f>
        <v/>
      </c>
      <c r="AM151" s="22">
        <f>SUM(C151,AL151)</f>
        <v/>
      </c>
      <c r="AN151" s="23">
        <f>E151*AM151</f>
        <v/>
      </c>
    </row>
    <row r="152" ht="25.05" customHeight="1">
      <c r="A152" s="4" t="n">
        <v>27935</v>
      </c>
      <c r="B152" s="4" t="inlineStr">
        <is>
          <t>REFRESCO CRISTAL TONICA ROYAL BLISS POMELO S/R 20 CL</t>
        </is>
      </c>
      <c r="C152" s="8" t="n">
        <v>0</v>
      </c>
      <c r="D152" s="9" t="inlineStr">
        <is>
          <t>BOTELLA</t>
        </is>
      </c>
      <c r="E152" s="10" t="n">
        <v>0.69125</v>
      </c>
      <c r="F152" s="13">
        <f>C152*E152</f>
        <v/>
      </c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0" t="n"/>
      <c r="AF152" s="20" t="n"/>
      <c r="AG152" s="20" t="n"/>
      <c r="AH152" s="20" t="n"/>
      <c r="AI152" s="20" t="n"/>
      <c r="AJ152" s="20" t="n"/>
      <c r="AK152" s="20" t="n"/>
      <c r="AL152" s="21">
        <f>SUM(G152:AK152)</f>
        <v/>
      </c>
      <c r="AM152" s="22">
        <f>SUM(C152,AL152)</f>
        <v/>
      </c>
      <c r="AN152" s="23">
        <f>E152*AM152</f>
        <v/>
      </c>
    </row>
    <row r="153" ht="25.05" customHeight="1">
      <c r="A153" s="4" t="n">
        <v>27731</v>
      </c>
      <c r="B153" s="4" t="inlineStr">
        <is>
          <t>REFRESCO BIB FUZE TEA LIMON S/AZUCAR</t>
        </is>
      </c>
      <c r="C153" s="8" t="n">
        <v>0</v>
      </c>
      <c r="D153" s="9" t="inlineStr">
        <is>
          <t>LITRO</t>
        </is>
      </c>
      <c r="E153" s="10" t="n">
        <v>9.010847</v>
      </c>
      <c r="F153" s="13">
        <f>C153*E153</f>
        <v/>
      </c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  <c r="AE153" s="20" t="n"/>
      <c r="AF153" s="20" t="n"/>
      <c r="AG153" s="20" t="n"/>
      <c r="AH153" s="20" t="n"/>
      <c r="AI153" s="20" t="n"/>
      <c r="AJ153" s="20" t="n"/>
      <c r="AK153" s="20" t="n"/>
      <c r="AL153" s="21">
        <f>SUM(G153:AK153)</f>
        <v/>
      </c>
      <c r="AM153" s="22">
        <f>SUM(C153,AL153)</f>
        <v/>
      </c>
      <c r="AN153" s="23">
        <f>E153*AM153</f>
        <v/>
      </c>
    </row>
    <row r="154" ht="25.05" customHeight="1">
      <c r="A154" s="4" t="n">
        <v>128</v>
      </c>
      <c r="B154" s="4" t="inlineStr">
        <is>
          <t>RON BACARDI 100 CL</t>
        </is>
      </c>
      <c r="C154" s="8" t="n">
        <v>0</v>
      </c>
      <c r="D154" s="9" t="inlineStr">
        <is>
          <t>BOTELLA</t>
        </is>
      </c>
      <c r="E154" s="10" t="n">
        <v>13.1</v>
      </c>
      <c r="F154" s="13">
        <f>C154*E154</f>
        <v/>
      </c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  <c r="AC154" s="20" t="n"/>
      <c r="AD154" s="20" t="n"/>
      <c r="AE154" s="20" t="n"/>
      <c r="AF154" s="20" t="n"/>
      <c r="AG154" s="20" t="n"/>
      <c r="AH154" s="20" t="n"/>
      <c r="AI154" s="20" t="n"/>
      <c r="AJ154" s="20" t="n"/>
      <c r="AK154" s="20" t="n"/>
      <c r="AL154" s="21">
        <f>SUM(G154:AK154)</f>
        <v/>
      </c>
      <c r="AM154" s="22">
        <f>SUM(C154,AL154)</f>
        <v/>
      </c>
      <c r="AN154" s="23">
        <f>E154*AM154</f>
        <v/>
      </c>
    </row>
    <row r="155" ht="25.05" customHeight="1">
      <c r="A155" s="4" t="n">
        <v>987035</v>
      </c>
      <c r="B155" s="4" t="inlineStr">
        <is>
          <t>RON BACARDI SPICED 70 CL</t>
        </is>
      </c>
      <c r="C155" s="8" t="n">
        <v>0</v>
      </c>
      <c r="D155" s="9" t="inlineStr">
        <is>
          <t>BOTELLA</t>
        </is>
      </c>
      <c r="E155" s="10" t="n">
        <v>11.5</v>
      </c>
      <c r="F155" s="13">
        <f>C155*E155</f>
        <v/>
      </c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0" t="n"/>
      <c r="AF155" s="20" t="n"/>
      <c r="AG155" s="20" t="n"/>
      <c r="AH155" s="20" t="n"/>
      <c r="AI155" s="20" t="n"/>
      <c r="AJ155" s="20" t="n"/>
      <c r="AK155" s="20" t="n"/>
      <c r="AL155" s="21">
        <f>SUM(G155:AK155)</f>
        <v/>
      </c>
      <c r="AM155" s="22">
        <f>SUM(C155,AL155)</f>
        <v/>
      </c>
      <c r="AN155" s="23">
        <f>E155*AM155</f>
        <v/>
      </c>
    </row>
    <row r="156" ht="25.05" customHeight="1">
      <c r="A156" s="4" t="n">
        <v>6991</v>
      </c>
      <c r="B156" s="4" t="inlineStr">
        <is>
          <t>RON BARCELO AÑEJO 70 CL</t>
        </is>
      </c>
      <c r="C156" s="8" t="n">
        <v>0</v>
      </c>
      <c r="D156" s="9" t="inlineStr">
        <is>
          <t>BOTELLA</t>
        </is>
      </c>
      <c r="E156" s="10" t="n">
        <v>11.994908</v>
      </c>
      <c r="F156" s="13">
        <f>C156*E156</f>
        <v/>
      </c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n"/>
      <c r="AC156" s="20" t="n"/>
      <c r="AD156" s="20" t="n"/>
      <c r="AE156" s="20" t="n"/>
      <c r="AF156" s="20" t="n"/>
      <c r="AG156" s="20" t="n"/>
      <c r="AH156" s="20" t="n"/>
      <c r="AI156" s="20" t="n"/>
      <c r="AJ156" s="20" t="n"/>
      <c r="AK156" s="20" t="n"/>
      <c r="AL156" s="21">
        <f>SUM(G156:AK156)</f>
        <v/>
      </c>
      <c r="AM156" s="22">
        <f>SUM(C156,AL156)</f>
        <v/>
      </c>
      <c r="AN156" s="23">
        <f>E156*AM156</f>
        <v/>
      </c>
    </row>
    <row r="157" ht="25.05" customHeight="1">
      <c r="A157" s="4" t="n">
        <v>970612</v>
      </c>
      <c r="B157" s="4" t="inlineStr">
        <is>
          <t>RON BARCELO IMPERIAL ONYX 70 CL</t>
        </is>
      </c>
      <c r="C157" s="8" t="n">
        <v>0</v>
      </c>
      <c r="D157" s="9" t="inlineStr">
        <is>
          <t>BOTELLA</t>
        </is>
      </c>
      <c r="E157" s="10" t="n">
        <v>40.748563</v>
      </c>
      <c r="F157" s="13">
        <f>C157*E157</f>
        <v/>
      </c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  <c r="AE157" s="20" t="n"/>
      <c r="AF157" s="20" t="n"/>
      <c r="AG157" s="20" t="n"/>
      <c r="AH157" s="20" t="n"/>
      <c r="AI157" s="20" t="n"/>
      <c r="AJ157" s="20" t="n"/>
      <c r="AK157" s="20" t="n"/>
      <c r="AL157" s="21">
        <f>SUM(G157:AK157)</f>
        <v/>
      </c>
      <c r="AM157" s="22">
        <f>SUM(C157,AL157)</f>
        <v/>
      </c>
      <c r="AN157" s="23">
        <f>E157*AM157</f>
        <v/>
      </c>
    </row>
    <row r="158" ht="25.05" customHeight="1">
      <c r="A158" s="4" t="n">
        <v>58</v>
      </c>
      <c r="B158" s="4" t="inlineStr">
        <is>
          <t>RON HAVANA CLUB 3 AÑOS 70 CL</t>
        </is>
      </c>
      <c r="C158" s="8" t="n">
        <v>0</v>
      </c>
      <c r="D158" s="9" t="inlineStr">
        <is>
          <t>BOTELLA</t>
        </is>
      </c>
      <c r="E158" s="10" t="n">
        <v>10.29</v>
      </c>
      <c r="F158" s="13">
        <f>C158*E158</f>
        <v/>
      </c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  <c r="AA158" s="20" t="n"/>
      <c r="AB158" s="20" t="n"/>
      <c r="AC158" s="20" t="n"/>
      <c r="AD158" s="20" t="n"/>
      <c r="AE158" s="20" t="n"/>
      <c r="AF158" s="20" t="n"/>
      <c r="AG158" s="20" t="n"/>
      <c r="AH158" s="20" t="n"/>
      <c r="AI158" s="20" t="n"/>
      <c r="AJ158" s="20" t="n"/>
      <c r="AK158" s="20" t="n"/>
      <c r="AL158" s="21">
        <f>SUM(G158:AK158)</f>
        <v/>
      </c>
      <c r="AM158" s="22">
        <f>SUM(C158,AL158)</f>
        <v/>
      </c>
      <c r="AN158" s="23">
        <f>E158*AM158</f>
        <v/>
      </c>
    </row>
    <row r="159" ht="25.05" customHeight="1">
      <c r="A159" s="4" t="n">
        <v>61</v>
      </c>
      <c r="B159" s="4" t="inlineStr">
        <is>
          <t>RON HAVANA CLUB 7 AÑOS 70 CL</t>
        </is>
      </c>
      <c r="C159" s="8" t="n">
        <v>0</v>
      </c>
      <c r="D159" s="9" t="inlineStr">
        <is>
          <t>BOTELLA</t>
        </is>
      </c>
      <c r="E159" s="10" t="n">
        <v>18.072886</v>
      </c>
      <c r="F159" s="13">
        <f>C159*E159</f>
        <v/>
      </c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  <c r="AF159" s="20" t="n"/>
      <c r="AG159" s="20" t="n"/>
      <c r="AH159" s="20" t="n"/>
      <c r="AI159" s="20" t="n"/>
      <c r="AJ159" s="20" t="n"/>
      <c r="AK159" s="20" t="n"/>
      <c r="AL159" s="21">
        <f>SUM(G159:AK159)</f>
        <v/>
      </c>
      <c r="AM159" s="22">
        <f>SUM(C159,AL159)</f>
        <v/>
      </c>
      <c r="AN159" s="23">
        <f>E159*AM159</f>
        <v/>
      </c>
    </row>
    <row r="160" ht="25.05" customHeight="1">
      <c r="A160" s="4" t="n">
        <v>28010</v>
      </c>
      <c r="B160" s="4" t="inlineStr">
        <is>
          <t>RON PLANTATION ORIGINAL DARK 100 CL</t>
        </is>
      </c>
      <c r="C160" s="8" t="n">
        <v>0</v>
      </c>
      <c r="D160" s="9" t="inlineStr">
        <is>
          <t>BOTELLA</t>
        </is>
      </c>
      <c r="E160" s="10" t="n">
        <v>20.75</v>
      </c>
      <c r="F160" s="13">
        <f>C160*E160</f>
        <v/>
      </c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  <c r="AA160" s="20" t="n"/>
      <c r="AB160" s="20" t="n"/>
      <c r="AC160" s="20" t="n"/>
      <c r="AD160" s="20" t="n"/>
      <c r="AE160" s="20" t="n"/>
      <c r="AF160" s="20" t="n"/>
      <c r="AG160" s="20" t="n"/>
      <c r="AH160" s="20" t="n"/>
      <c r="AI160" s="20" t="n"/>
      <c r="AJ160" s="20" t="n"/>
      <c r="AK160" s="20" t="n"/>
      <c r="AL160" s="21">
        <f>SUM(G160:AK160)</f>
        <v/>
      </c>
      <c r="AM160" s="22">
        <f>SUM(C160,AL160)</f>
        <v/>
      </c>
      <c r="AN160" s="23">
        <f>E160*AM160</f>
        <v/>
      </c>
    </row>
    <row r="161" ht="25.05" customHeight="1">
      <c r="A161" s="4" t="n">
        <v>909569</v>
      </c>
      <c r="B161" s="4" t="inlineStr">
        <is>
          <t>RON SANTA TERESA GRAN RVA 75 CL</t>
        </is>
      </c>
      <c r="C161" s="8" t="n">
        <v>0</v>
      </c>
      <c r="D161" s="9" t="inlineStr">
        <is>
          <t>BOTELLA</t>
        </is>
      </c>
      <c r="E161" s="10" t="n">
        <v>12.605797</v>
      </c>
      <c r="F161" s="13">
        <f>C161*E161</f>
        <v/>
      </c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  <c r="AE161" s="20" t="n"/>
      <c r="AF161" s="20" t="n"/>
      <c r="AG161" s="20" t="n"/>
      <c r="AH161" s="20" t="n"/>
      <c r="AI161" s="20" t="n"/>
      <c r="AJ161" s="20" t="n"/>
      <c r="AK161" s="20" t="n"/>
      <c r="AL161" s="21">
        <f>SUM(G161:AK161)</f>
        <v/>
      </c>
      <c r="AM161" s="22">
        <f>SUM(C161,AL161)</f>
        <v/>
      </c>
      <c r="AN161" s="23">
        <f>E161*AM161</f>
        <v/>
      </c>
    </row>
    <row r="162" ht="25.05" customHeight="1">
      <c r="A162" s="4" t="n">
        <v>4755</v>
      </c>
      <c r="B162" s="4" t="inlineStr">
        <is>
          <t>TEQUILA REPOSADO JOSE CUERVO ESPECIAL 70 CL</t>
        </is>
      </c>
      <c r="C162" s="8" t="n">
        <v>0</v>
      </c>
      <c r="D162" s="9" t="inlineStr">
        <is>
          <t>BOTELLA</t>
        </is>
      </c>
      <c r="E162" s="10" t="n">
        <v>11.994893</v>
      </c>
      <c r="F162" s="13">
        <f>C162*E162</f>
        <v/>
      </c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  <c r="AA162" s="20" t="n"/>
      <c r="AB162" s="20" t="n"/>
      <c r="AC162" s="20" t="n"/>
      <c r="AD162" s="20" t="n"/>
      <c r="AE162" s="20" t="n"/>
      <c r="AF162" s="20" t="n"/>
      <c r="AG162" s="20" t="n"/>
      <c r="AH162" s="20" t="n"/>
      <c r="AI162" s="20" t="n"/>
      <c r="AJ162" s="20" t="n"/>
      <c r="AK162" s="20" t="n"/>
      <c r="AL162" s="21">
        <f>SUM(G162:AK162)</f>
        <v/>
      </c>
      <c r="AM162" s="22">
        <f>SUM(C162,AL162)</f>
        <v/>
      </c>
      <c r="AN162" s="23">
        <f>E162*AM162</f>
        <v/>
      </c>
    </row>
    <row r="163" ht="25.05" customHeight="1">
      <c r="A163" s="4" t="n">
        <v>15593</v>
      </c>
      <c r="B163" s="4" t="inlineStr">
        <is>
          <t>VINO BCO CARPATHIA 75 CL</t>
        </is>
      </c>
      <c r="C163" s="8" t="n">
        <v>0</v>
      </c>
      <c r="D163" s="9" t="inlineStr">
        <is>
          <t>BOTELLA</t>
        </is>
      </c>
      <c r="E163" s="10" t="n">
        <v>2.054</v>
      </c>
      <c r="F163" s="13">
        <f>C163*E163</f>
        <v/>
      </c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  <c r="AE163" s="20" t="n"/>
      <c r="AF163" s="20" t="n"/>
      <c r="AG163" s="20" t="n"/>
      <c r="AH163" s="20" t="n"/>
      <c r="AI163" s="20" t="n"/>
      <c r="AJ163" s="20" t="n"/>
      <c r="AK163" s="20" t="n"/>
      <c r="AL163" s="21">
        <f>SUM(G163:AK163)</f>
        <v/>
      </c>
      <c r="AM163" s="22">
        <f>SUM(C163,AL163)</f>
        <v/>
      </c>
      <c r="AN163" s="23">
        <f>E163*AM163</f>
        <v/>
      </c>
    </row>
    <row r="164" ht="25.05" customHeight="1">
      <c r="A164" s="4" t="n">
        <v>6903</v>
      </c>
      <c r="B164" s="4" t="inlineStr">
        <is>
          <t>VINO BCO RENE BARBIER MEDITERRANEAN 75 CL</t>
        </is>
      </c>
      <c r="C164" s="8" t="n">
        <v>0</v>
      </c>
      <c r="D164" s="9" t="inlineStr">
        <is>
          <t>BOTELLA</t>
        </is>
      </c>
      <c r="E164" s="10" t="n">
        <v>2.179714</v>
      </c>
      <c r="F164" s="13">
        <f>C164*E164</f>
        <v/>
      </c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  <c r="AA164" s="20" t="n"/>
      <c r="AB164" s="20" t="n"/>
      <c r="AC164" s="20" t="n"/>
      <c r="AD164" s="20" t="n"/>
      <c r="AE164" s="20" t="n"/>
      <c r="AF164" s="20" t="n"/>
      <c r="AG164" s="20" t="n"/>
      <c r="AH164" s="20" t="n"/>
      <c r="AI164" s="20" t="n"/>
      <c r="AJ164" s="20" t="n"/>
      <c r="AK164" s="20" t="n"/>
      <c r="AL164" s="21">
        <f>SUM(G164:AK164)</f>
        <v/>
      </c>
      <c r="AM164" s="22">
        <f>SUM(C164,AL164)</f>
        <v/>
      </c>
      <c r="AN164" s="23">
        <f>E164*AM164</f>
        <v/>
      </c>
    </row>
    <row r="165" ht="25.05" customHeight="1">
      <c r="A165" s="4" t="n">
        <v>14990</v>
      </c>
      <c r="B165" s="4" t="inlineStr">
        <is>
          <t>VINO BCO SECO PARAMUS 75 CL</t>
        </is>
      </c>
      <c r="C165" s="8" t="n">
        <v>0</v>
      </c>
      <c r="D165" s="9" t="inlineStr">
        <is>
          <t>BOTELLA</t>
        </is>
      </c>
      <c r="E165" s="10" t="n">
        <v>1.849922</v>
      </c>
      <c r="F165" s="13">
        <f>C165*E165</f>
        <v/>
      </c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0" t="n"/>
      <c r="AF165" s="20" t="n"/>
      <c r="AG165" s="20" t="n"/>
      <c r="AH165" s="20" t="n"/>
      <c r="AI165" s="20" t="n"/>
      <c r="AJ165" s="20" t="n"/>
      <c r="AK165" s="20" t="n"/>
      <c r="AL165" s="21">
        <f>SUM(G165:AK165)</f>
        <v/>
      </c>
      <c r="AM165" s="22">
        <f>SUM(C165,AL165)</f>
        <v/>
      </c>
      <c r="AN165" s="23">
        <f>E165*AM165</f>
        <v/>
      </c>
    </row>
    <row r="166" ht="25.05" customHeight="1">
      <c r="A166" s="4" t="n">
        <v>15594</v>
      </c>
      <c r="B166" s="4" t="inlineStr">
        <is>
          <t>VINO RDO CARPATHIA 75 CL</t>
        </is>
      </c>
      <c r="C166" s="8" t="n">
        <v>0</v>
      </c>
      <c r="D166" s="9" t="inlineStr">
        <is>
          <t>BOTELLA</t>
        </is>
      </c>
      <c r="E166" s="10" t="n">
        <v>2.054</v>
      </c>
      <c r="F166" s="13">
        <f>C166*E166</f>
        <v/>
      </c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1">
        <f>SUM(G166:AK166)</f>
        <v/>
      </c>
      <c r="AM166" s="22">
        <f>SUM(C166,AL166)</f>
        <v/>
      </c>
      <c r="AN166" s="23">
        <f>E166*AM166</f>
        <v/>
      </c>
    </row>
    <row r="167" ht="25.05" customHeight="1">
      <c r="A167" s="4" t="n">
        <v>14989</v>
      </c>
      <c r="B167" s="4" t="inlineStr">
        <is>
          <t>VINO RDO PARAMUS 75 CL</t>
        </is>
      </c>
      <c r="C167" s="8" t="n">
        <v>0</v>
      </c>
      <c r="D167" s="9" t="inlineStr">
        <is>
          <t>BOTELLA</t>
        </is>
      </c>
      <c r="E167" s="10" t="n">
        <v>1.848992</v>
      </c>
      <c r="F167" s="13">
        <f>C167*E167</f>
        <v/>
      </c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1">
        <f>SUM(G167:AK167)</f>
        <v/>
      </c>
      <c r="AM167" s="22">
        <f>SUM(C167,AL167)</f>
        <v/>
      </c>
      <c r="AN167" s="23">
        <f>E167*AM167</f>
        <v/>
      </c>
    </row>
    <row r="168" ht="25.05" customHeight="1">
      <c r="A168" s="4" t="n">
        <v>15595</v>
      </c>
      <c r="B168" s="4" t="inlineStr">
        <is>
          <t>VINO TTO CARPATHIA 75 CL</t>
        </is>
      </c>
      <c r="C168" s="8" t="n">
        <v>0</v>
      </c>
      <c r="D168" s="9" t="inlineStr">
        <is>
          <t>BOTELLA</t>
        </is>
      </c>
      <c r="E168" s="10" t="n">
        <v>2.054</v>
      </c>
      <c r="F168" s="13">
        <f>C168*E168</f>
        <v/>
      </c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20" t="n"/>
      <c r="AH168" s="20" t="n"/>
      <c r="AI168" s="20" t="n"/>
      <c r="AJ168" s="20" t="n"/>
      <c r="AK168" s="20" t="n"/>
      <c r="AL168" s="21">
        <f>SUM(G168:AK168)</f>
        <v/>
      </c>
      <c r="AM168" s="22">
        <f>SUM(C168,AL168)</f>
        <v/>
      </c>
      <c r="AN168" s="23">
        <f>E168*AM168</f>
        <v/>
      </c>
    </row>
    <row r="169" ht="25.05" customHeight="1">
      <c r="A169" s="4" t="n">
        <v>14988</v>
      </c>
      <c r="B169" s="4" t="inlineStr">
        <is>
          <t>VINO TTO PARAMUS 75 CL</t>
        </is>
      </c>
      <c r="C169" s="8" t="n">
        <v>0</v>
      </c>
      <c r="D169" s="9" t="inlineStr">
        <is>
          <t>BOTELLA</t>
        </is>
      </c>
      <c r="E169" s="10" t="n">
        <v>1.849512</v>
      </c>
      <c r="F169" s="13">
        <f>C169*E169</f>
        <v/>
      </c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  <c r="AE169" s="20" t="n"/>
      <c r="AF169" s="20" t="n"/>
      <c r="AG169" s="20" t="n"/>
      <c r="AH169" s="20" t="n"/>
      <c r="AI169" s="20" t="n"/>
      <c r="AJ169" s="20" t="n"/>
      <c r="AK169" s="20" t="n"/>
      <c r="AL169" s="21">
        <f>SUM(G169:AK169)</f>
        <v/>
      </c>
      <c r="AM169" s="22">
        <f>SUM(C169,AL169)</f>
        <v/>
      </c>
      <c r="AN169" s="23">
        <f>E169*AM169</f>
        <v/>
      </c>
    </row>
    <row r="170" ht="25.05" customHeight="1">
      <c r="A170" s="4" t="n">
        <v>4816</v>
      </c>
      <c r="B170" s="4" t="inlineStr">
        <is>
          <t>BIB SANGRIA ESPECIAL 9º</t>
        </is>
      </c>
      <c r="C170" s="8" t="n">
        <v>0</v>
      </c>
      <c r="D170" s="9" t="inlineStr">
        <is>
          <t>LITRO</t>
        </is>
      </c>
      <c r="E170" s="10" t="n">
        <v>1.2105</v>
      </c>
      <c r="F170" s="13">
        <f>C170*E170</f>
        <v/>
      </c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  <c r="AA170" s="20" t="n"/>
      <c r="AB170" s="20" t="n"/>
      <c r="AC170" s="20" t="n"/>
      <c r="AD170" s="20" t="n"/>
      <c r="AE170" s="20" t="n"/>
      <c r="AF170" s="20" t="n"/>
      <c r="AG170" s="20" t="n"/>
      <c r="AH170" s="20" t="n"/>
      <c r="AI170" s="20" t="n"/>
      <c r="AJ170" s="20" t="n"/>
      <c r="AK170" s="20" t="n"/>
      <c r="AL170" s="21">
        <f>SUM(G170:AK170)</f>
        <v/>
      </c>
      <c r="AM170" s="22">
        <f>SUM(C170,AL170)</f>
        <v/>
      </c>
      <c r="AN170" s="23">
        <f>E170*AM170</f>
        <v/>
      </c>
    </row>
    <row r="171" ht="25.05" customHeight="1">
      <c r="A171" s="4" t="n">
        <v>4840</v>
      </c>
      <c r="B171" s="4" t="inlineStr">
        <is>
          <t>BIB VINO TTO 12º</t>
        </is>
      </c>
      <c r="C171" s="8" t="n">
        <v>0</v>
      </c>
      <c r="D171" s="9" t="inlineStr">
        <is>
          <t>LITRO</t>
        </is>
      </c>
      <c r="E171" s="10" t="n">
        <v>1.118</v>
      </c>
      <c r="F171" s="13">
        <f>C171*E171</f>
        <v/>
      </c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  <c r="AE171" s="20" t="n"/>
      <c r="AF171" s="20" t="n"/>
      <c r="AG171" s="20" t="n"/>
      <c r="AH171" s="20" t="n"/>
      <c r="AI171" s="20" t="n"/>
      <c r="AJ171" s="20" t="n"/>
      <c r="AK171" s="20" t="n"/>
      <c r="AL171" s="21">
        <f>SUM(G171:AK171)</f>
        <v/>
      </c>
      <c r="AM171" s="22">
        <f>SUM(C171,AL171)</f>
        <v/>
      </c>
      <c r="AN171" s="23">
        <f>E171*AM171</f>
        <v/>
      </c>
    </row>
    <row r="172" ht="25.05" customHeight="1">
      <c r="A172" s="4" t="n">
        <v>9407</v>
      </c>
      <c r="B172" s="4" t="inlineStr">
        <is>
          <t>VODKA ABSOLUT AZUL 70 CL</t>
        </is>
      </c>
      <c r="C172" s="8" t="n">
        <v>0</v>
      </c>
      <c r="D172" s="9" t="inlineStr">
        <is>
          <t>BOTELLA</t>
        </is>
      </c>
      <c r="E172" s="10" t="n">
        <v>10.450029</v>
      </c>
      <c r="F172" s="13">
        <f>C172*E172</f>
        <v/>
      </c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  <c r="AA172" s="20" t="n"/>
      <c r="AB172" s="20" t="n"/>
      <c r="AC172" s="20" t="n"/>
      <c r="AD172" s="20" t="n"/>
      <c r="AE172" s="20" t="n"/>
      <c r="AF172" s="20" t="n"/>
      <c r="AG172" s="20" t="n"/>
      <c r="AH172" s="20" t="n"/>
      <c r="AI172" s="20" t="n"/>
      <c r="AJ172" s="20" t="n"/>
      <c r="AK172" s="20" t="n"/>
      <c r="AL172" s="21">
        <f>SUM(G172:AK172)</f>
        <v/>
      </c>
      <c r="AM172" s="22">
        <f>SUM(C172,AL172)</f>
        <v/>
      </c>
      <c r="AN172" s="23">
        <f>E172*AM172</f>
        <v/>
      </c>
    </row>
    <row r="173" ht="25.05" customHeight="1">
      <c r="A173" s="4" t="n">
        <v>10537</v>
      </c>
      <c r="B173" s="4" t="inlineStr">
        <is>
          <t>VODKA BELVEDERE 70 CL</t>
        </is>
      </c>
      <c r="C173" s="8" t="n">
        <v>0</v>
      </c>
      <c r="D173" s="9" t="inlineStr">
        <is>
          <t>BOTELLA</t>
        </is>
      </c>
      <c r="E173" s="10" t="n">
        <v>27.668853</v>
      </c>
      <c r="F173" s="13">
        <f>C173*E173</f>
        <v/>
      </c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  <c r="AE173" s="20" t="n"/>
      <c r="AF173" s="20" t="n"/>
      <c r="AG173" s="20" t="n"/>
      <c r="AH173" s="20" t="n"/>
      <c r="AI173" s="20" t="n"/>
      <c r="AJ173" s="20" t="n"/>
      <c r="AK173" s="20" t="n"/>
      <c r="AL173" s="21">
        <f>SUM(G173:AK173)</f>
        <v/>
      </c>
      <c r="AM173" s="22">
        <f>SUM(C173,AL173)</f>
        <v/>
      </c>
      <c r="AN173" s="23">
        <f>E173*AM173</f>
        <v/>
      </c>
    </row>
    <row r="174" ht="25.05" customHeight="1">
      <c r="A174" s="4" t="n">
        <v>6689</v>
      </c>
      <c r="B174" s="4" t="inlineStr">
        <is>
          <t>VODKA ERISTOFF 70 CL</t>
        </is>
      </c>
      <c r="C174" s="8" t="n">
        <v>0</v>
      </c>
      <c r="D174" s="9" t="inlineStr">
        <is>
          <t>BOTELLA</t>
        </is>
      </c>
      <c r="E174" s="10" t="n">
        <v>8.43</v>
      </c>
      <c r="F174" s="13">
        <f>C174*E174</f>
        <v/>
      </c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  <c r="AA174" s="20" t="n"/>
      <c r="AB174" s="20" t="n"/>
      <c r="AC174" s="20" t="n"/>
      <c r="AD174" s="20" t="n"/>
      <c r="AE174" s="20" t="n"/>
      <c r="AF174" s="20" t="n"/>
      <c r="AG174" s="20" t="n"/>
      <c r="AH174" s="20" t="n"/>
      <c r="AI174" s="20" t="n"/>
      <c r="AJ174" s="20" t="n"/>
      <c r="AK174" s="20" t="n"/>
      <c r="AL174" s="21">
        <f>SUM(G174:AK174)</f>
        <v/>
      </c>
      <c r="AM174" s="22">
        <f>SUM(C174,AL174)</f>
        <v/>
      </c>
      <c r="AN174" s="23">
        <f>E174*AM174</f>
        <v/>
      </c>
    </row>
    <row r="175" ht="25.05" customHeight="1">
      <c r="A175" s="4" t="n">
        <v>7508</v>
      </c>
      <c r="B175" s="4" t="inlineStr">
        <is>
          <t>VODKA GREY GOOSE 70 CL</t>
        </is>
      </c>
      <c r="C175" s="8" t="n">
        <v>0</v>
      </c>
      <c r="D175" s="9" t="inlineStr">
        <is>
          <t>BOTELLA</t>
        </is>
      </c>
      <c r="E175" s="10" t="n">
        <v>31.947131</v>
      </c>
      <c r="F175" s="13">
        <f>C175*E175</f>
        <v/>
      </c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1">
        <f>SUM(G175:AK175)</f>
        <v/>
      </c>
      <c r="AM175" s="22">
        <f>SUM(C175,AL175)</f>
        <v/>
      </c>
      <c r="AN175" s="23">
        <f>E175*AM175</f>
        <v/>
      </c>
    </row>
    <row r="176" ht="25.05" customHeight="1">
      <c r="A176" s="4" t="n">
        <v>35</v>
      </c>
      <c r="B176" s="4" t="inlineStr">
        <is>
          <t>WHISKY BALLANTINES 70 CL</t>
        </is>
      </c>
      <c r="C176" s="8" t="n">
        <v>0</v>
      </c>
      <c r="D176" s="9" t="inlineStr">
        <is>
          <t>BOTELLA</t>
        </is>
      </c>
      <c r="E176" s="10" t="n">
        <v>11.119999</v>
      </c>
      <c r="F176" s="13">
        <f>C176*E176</f>
        <v/>
      </c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  <c r="AA176" s="20" t="n"/>
      <c r="AB176" s="20" t="n"/>
      <c r="AC176" s="20" t="n"/>
      <c r="AD176" s="20" t="n"/>
      <c r="AE176" s="20" t="n"/>
      <c r="AF176" s="20" t="n"/>
      <c r="AG176" s="20" t="n"/>
      <c r="AH176" s="20" t="n"/>
      <c r="AI176" s="20" t="n"/>
      <c r="AJ176" s="20" t="n"/>
      <c r="AK176" s="20" t="n"/>
      <c r="AL176" s="21">
        <f>SUM(G176:AK176)</f>
        <v/>
      </c>
      <c r="AM176" s="22">
        <f>SUM(C176,AL176)</f>
        <v/>
      </c>
      <c r="AN176" s="23">
        <f>E176*AM176</f>
        <v/>
      </c>
    </row>
    <row r="177" ht="25.05" customHeight="1">
      <c r="A177" s="4" t="n">
        <v>933</v>
      </c>
      <c r="B177" s="4" t="inlineStr">
        <is>
          <t>WHISKY CARDHU MALTA 70 CL</t>
        </is>
      </c>
      <c r="C177" s="8" t="n">
        <v>0</v>
      </c>
      <c r="D177" s="9" t="inlineStr">
        <is>
          <t>BOTELLA</t>
        </is>
      </c>
      <c r="E177" s="10" t="n">
        <v>29.519555</v>
      </c>
      <c r="F177" s="13">
        <f>C177*E177</f>
        <v/>
      </c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  <c r="AE177" s="20" t="n"/>
      <c r="AF177" s="20" t="n"/>
      <c r="AG177" s="20" t="n"/>
      <c r="AH177" s="20" t="n"/>
      <c r="AI177" s="20" t="n"/>
      <c r="AJ177" s="20" t="n"/>
      <c r="AK177" s="20" t="n"/>
      <c r="AL177" s="21">
        <f>SUM(G177:AK177)</f>
        <v/>
      </c>
      <c r="AM177" s="22">
        <f>SUM(C177,AL177)</f>
        <v/>
      </c>
      <c r="AN177" s="23">
        <f>E177*AM177</f>
        <v/>
      </c>
    </row>
    <row r="178" ht="25.05" customHeight="1">
      <c r="A178" s="4" t="n">
        <v>81</v>
      </c>
      <c r="B178" s="4" t="inlineStr">
        <is>
          <t>WHISKY CHIVAS REGAL 12 AÑOS 70 CL</t>
        </is>
      </c>
      <c r="C178" s="8" t="n">
        <v>0</v>
      </c>
      <c r="D178" s="9" t="inlineStr">
        <is>
          <t>BOTELLA</t>
        </is>
      </c>
      <c r="E178" s="10" t="n">
        <v>21.898976</v>
      </c>
      <c r="F178" s="13">
        <f>C178*E178</f>
        <v/>
      </c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0" t="n"/>
      <c r="AE178" s="20" t="n"/>
      <c r="AF178" s="20" t="n"/>
      <c r="AG178" s="20" t="n"/>
      <c r="AH178" s="20" t="n"/>
      <c r="AI178" s="20" t="n"/>
      <c r="AJ178" s="20" t="n"/>
      <c r="AK178" s="20" t="n"/>
      <c r="AL178" s="21">
        <f>SUM(G178:AK178)</f>
        <v/>
      </c>
      <c r="AM178" s="22">
        <f>SUM(C178,AL178)</f>
        <v/>
      </c>
      <c r="AN178" s="23">
        <f>E178*AM178</f>
        <v/>
      </c>
    </row>
    <row r="179" ht="25.05" customHeight="1">
      <c r="A179" s="4" t="n">
        <v>13459</v>
      </c>
      <c r="B179" s="4" t="inlineStr">
        <is>
          <t>WHISKY DEWARS 12 AÑOS 70 CL</t>
        </is>
      </c>
      <c r="C179" s="8" t="n">
        <v>0</v>
      </c>
      <c r="D179" s="9" t="inlineStr">
        <is>
          <t>BOTELLA</t>
        </is>
      </c>
      <c r="E179" s="10" t="n">
        <v>23.5</v>
      </c>
      <c r="F179" s="13">
        <f>C179*E179</f>
        <v/>
      </c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  <c r="AI179" s="20" t="n"/>
      <c r="AJ179" s="20" t="n"/>
      <c r="AK179" s="20" t="n"/>
      <c r="AL179" s="21">
        <f>SUM(G179:AK179)</f>
        <v/>
      </c>
      <c r="AM179" s="22">
        <f>SUM(C179,AL179)</f>
        <v/>
      </c>
      <c r="AN179" s="23">
        <f>E179*AM179</f>
        <v/>
      </c>
    </row>
    <row r="180" ht="25.05" customHeight="1">
      <c r="A180" s="4" t="n">
        <v>4107</v>
      </c>
      <c r="B180" s="4" t="inlineStr">
        <is>
          <t>WHISKY DEWARS WHITE LABEL 70 CL</t>
        </is>
      </c>
      <c r="C180" s="8" t="n">
        <v>0</v>
      </c>
      <c r="D180" s="9" t="inlineStr">
        <is>
          <t>BOTELLA</t>
        </is>
      </c>
      <c r="E180" s="10" t="n">
        <v>10.821176</v>
      </c>
      <c r="F180" s="13">
        <f>C180*E180</f>
        <v/>
      </c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0" t="n"/>
      <c r="AE180" s="20" t="n"/>
      <c r="AF180" s="20" t="n"/>
      <c r="AG180" s="20" t="n"/>
      <c r="AH180" s="20" t="n"/>
      <c r="AI180" s="20" t="n"/>
      <c r="AJ180" s="20" t="n"/>
      <c r="AK180" s="20" t="n"/>
      <c r="AL180" s="21">
        <f>SUM(G180:AK180)</f>
        <v/>
      </c>
      <c r="AM180" s="22">
        <f>SUM(C180,AL180)</f>
        <v/>
      </c>
      <c r="AN180" s="23">
        <f>E180*AM180</f>
        <v/>
      </c>
    </row>
    <row r="181" ht="25.05" customHeight="1">
      <c r="A181" s="4" t="n">
        <v>1076</v>
      </c>
      <c r="B181" s="4" t="inlineStr">
        <is>
          <t>WHISKY JACK DANIELS 70 CL</t>
        </is>
      </c>
      <c r="C181" s="8" t="n">
        <v>0</v>
      </c>
      <c r="D181" s="9" t="inlineStr">
        <is>
          <t>BOTELLA</t>
        </is>
      </c>
      <c r="E181" s="10" t="n">
        <v>16.499989</v>
      </c>
      <c r="F181" s="13">
        <f>C181*E181</f>
        <v/>
      </c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  <c r="AI181" s="20" t="n"/>
      <c r="AJ181" s="20" t="n"/>
      <c r="AK181" s="20" t="n"/>
      <c r="AL181" s="21">
        <f>SUM(G181:AK181)</f>
        <v/>
      </c>
      <c r="AM181" s="22">
        <f>SUM(C181,AL181)</f>
        <v/>
      </c>
      <c r="AN181" s="23">
        <f>E181*AM181</f>
        <v/>
      </c>
    </row>
    <row r="182" ht="25.05" customHeight="1">
      <c r="A182" s="4" t="n">
        <v>11271</v>
      </c>
      <c r="B182" s="4" t="inlineStr">
        <is>
          <t>WHISKY JAMESON 70 CL</t>
        </is>
      </c>
      <c r="C182" s="8" t="n">
        <v>0</v>
      </c>
      <c r="D182" s="9" t="inlineStr">
        <is>
          <t>BOTELLA</t>
        </is>
      </c>
      <c r="E182" s="10" t="n">
        <v>13.92</v>
      </c>
      <c r="F182" s="13">
        <f>C182*E182</f>
        <v/>
      </c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0" t="n"/>
      <c r="AE182" s="20" t="n"/>
      <c r="AF182" s="20" t="n"/>
      <c r="AG182" s="20" t="n"/>
      <c r="AH182" s="20" t="n"/>
      <c r="AI182" s="20" t="n"/>
      <c r="AJ182" s="20" t="n"/>
      <c r="AK182" s="20" t="n"/>
      <c r="AL182" s="21">
        <f>SUM(G182:AK182)</f>
        <v/>
      </c>
      <c r="AM182" s="22">
        <f>SUM(C182,AL182)</f>
        <v/>
      </c>
      <c r="AN182" s="23">
        <f>E182*AM182</f>
        <v/>
      </c>
    </row>
    <row r="183" ht="25.05" customHeight="1">
      <c r="A183" s="4" t="n">
        <v>39</v>
      </c>
      <c r="B183" s="4" t="inlineStr">
        <is>
          <t>WHISKY JIM BEAM 70 CL</t>
        </is>
      </c>
      <c r="C183" s="8" t="n">
        <v>0</v>
      </c>
      <c r="D183" s="9" t="inlineStr">
        <is>
          <t>BOTELLA</t>
        </is>
      </c>
      <c r="E183" s="10" t="n">
        <v>12.82</v>
      </c>
      <c r="F183" s="13">
        <f>C183*E183</f>
        <v/>
      </c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  <c r="AI183" s="20" t="n"/>
      <c r="AJ183" s="20" t="n"/>
      <c r="AK183" s="20" t="n"/>
      <c r="AL183" s="21">
        <f>SUM(G183:AK183)</f>
        <v/>
      </c>
      <c r="AM183" s="22">
        <f>SUM(C183,AL183)</f>
        <v/>
      </c>
      <c r="AN183" s="23">
        <f>E183*AM183</f>
        <v/>
      </c>
    </row>
    <row r="184" ht="25.05" customHeight="1">
      <c r="A184" s="4" t="n">
        <v>1565</v>
      </c>
      <c r="B184" s="4" t="inlineStr">
        <is>
          <t>WHISKY JOHNNIE WALKER BLACK LABEL 70 CL</t>
        </is>
      </c>
      <c r="C184" s="8" t="n">
        <v>0</v>
      </c>
      <c r="D184" s="9" t="inlineStr">
        <is>
          <t>BOTELLA</t>
        </is>
      </c>
      <c r="E184" s="10" t="n">
        <v>18.819578</v>
      </c>
      <c r="F184" s="13">
        <f>C184*E184</f>
        <v/>
      </c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0" t="n"/>
      <c r="AF184" s="20" t="n"/>
      <c r="AG184" s="20" t="n"/>
      <c r="AH184" s="20" t="n"/>
      <c r="AI184" s="20" t="n"/>
      <c r="AJ184" s="20" t="n"/>
      <c r="AK184" s="20" t="n"/>
      <c r="AL184" s="21">
        <f>SUM(G184:AK184)</f>
        <v/>
      </c>
      <c r="AM184" s="22">
        <f>SUM(C184,AL184)</f>
        <v/>
      </c>
      <c r="AN184" s="23">
        <f>E184*AM184</f>
        <v/>
      </c>
    </row>
    <row r="185" ht="25.05" customHeight="1">
      <c r="A185" s="4" t="n">
        <v>15</v>
      </c>
      <c r="B185" s="4" t="inlineStr">
        <is>
          <t>WHISKY JOHNNIE WALKER RED LABEL 70 CL</t>
        </is>
      </c>
      <c r="C185" s="8" t="n">
        <v>0</v>
      </c>
      <c r="D185" s="9" t="inlineStr">
        <is>
          <t>BOTELLA</t>
        </is>
      </c>
      <c r="E185" s="10" t="n">
        <v>10.499969</v>
      </c>
      <c r="F185" s="13">
        <f>C185*E185</f>
        <v/>
      </c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1">
        <f>SUM(G185:AK185)</f>
        <v/>
      </c>
      <c r="AM185" s="22">
        <f>SUM(C185,AL185)</f>
        <v/>
      </c>
      <c r="AN185" s="23">
        <f>E185*AM185</f>
        <v/>
      </c>
    </row>
    <row r="186" ht="25.05" customHeight="1">
      <c r="A186" s="4" t="n">
        <v>23137</v>
      </c>
      <c r="B186" s="4" t="inlineStr">
        <is>
          <t>BIB ZUMO CONCENTRADO 100% MANZANA 10 LT</t>
        </is>
      </c>
      <c r="C186" s="8" t="n">
        <v>0</v>
      </c>
      <c r="D186" s="9" t="inlineStr">
        <is>
          <t>LITRO</t>
        </is>
      </c>
      <c r="E186" s="10" t="n">
        <v>4.998</v>
      </c>
      <c r="F186" s="13">
        <f>C186*E186</f>
        <v/>
      </c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1">
        <f>SUM(G186:AK186)</f>
        <v/>
      </c>
      <c r="AM186" s="22">
        <f>SUM(C186,AL186)</f>
        <v/>
      </c>
      <c r="AN186" s="23">
        <f>E186*AM186</f>
        <v/>
      </c>
    </row>
    <row r="187" ht="25.05" customHeight="1">
      <c r="A187" s="4" t="n">
        <v>23136</v>
      </c>
      <c r="B187" s="4" t="inlineStr">
        <is>
          <t>BIB ZUMO CONCENTRADO NARANJA 100% 10 LT</t>
        </is>
      </c>
      <c r="C187" s="8" t="n">
        <v>0</v>
      </c>
      <c r="D187" s="9" t="inlineStr">
        <is>
          <t>LITRO</t>
        </is>
      </c>
      <c r="E187" s="10" t="n">
        <v>7.499999</v>
      </c>
      <c r="F187" s="13">
        <f>C187*E187</f>
        <v/>
      </c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1">
        <f>SUM(G187:AK187)</f>
        <v/>
      </c>
      <c r="AM187" s="22">
        <f>SUM(C187,AL187)</f>
        <v/>
      </c>
      <c r="AN187" s="23">
        <f>E187*AM187</f>
        <v/>
      </c>
    </row>
    <row r="188" ht="25.05" customHeight="1">
      <c r="A188" s="4" t="n">
        <v>23139</v>
      </c>
      <c r="B188" s="4" t="inlineStr">
        <is>
          <t>BIB ZUMO CONCENTRADO PIÑA 100% 10 LT</t>
        </is>
      </c>
      <c r="C188" s="8" t="n">
        <v>0</v>
      </c>
      <c r="D188" s="9" t="inlineStr">
        <is>
          <t>LITRO</t>
        </is>
      </c>
      <c r="E188" s="10" t="n">
        <v>5.658989</v>
      </c>
      <c r="F188" s="13">
        <f>C188*E188</f>
        <v/>
      </c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  <c r="AC188" s="20" t="n"/>
      <c r="AD188" s="20" t="n"/>
      <c r="AE188" s="20" t="n"/>
      <c r="AF188" s="20" t="n"/>
      <c r="AG188" s="20" t="n"/>
      <c r="AH188" s="20" t="n"/>
      <c r="AI188" s="20" t="n"/>
      <c r="AJ188" s="20" t="n"/>
      <c r="AK188" s="20" t="n"/>
      <c r="AL188" s="21">
        <f>SUM(G188:AK188)</f>
        <v/>
      </c>
      <c r="AM188" s="22">
        <f>SUM(C188,AL188)</f>
        <v/>
      </c>
      <c r="AN188" s="23">
        <f>E188*AM188</f>
        <v/>
      </c>
    </row>
    <row r="189" ht="25.05" customHeight="1">
      <c r="A189" s="4" t="n">
        <v>238</v>
      </c>
      <c r="B189" s="4" t="inlineStr">
        <is>
          <t>ZUMO LIMON CRISTAL 100 CL</t>
        </is>
      </c>
      <c r="C189" s="8" t="n">
        <v>0</v>
      </c>
      <c r="D189" s="9" t="inlineStr">
        <is>
          <t>BOTELLA</t>
        </is>
      </c>
      <c r="E189" s="10" t="n">
        <v>1.31102</v>
      </c>
      <c r="F189" s="13">
        <f>C189*E189</f>
        <v/>
      </c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1">
        <f>SUM(G189:AK189)</f>
        <v/>
      </c>
      <c r="AM189" s="22">
        <f>SUM(C189,AL189)</f>
        <v/>
      </c>
      <c r="AN189" s="23">
        <f>E189*AM189</f>
        <v/>
      </c>
    </row>
    <row r="190" ht="25.05" customHeight="1">
      <c r="A190" s="4" t="n">
        <v>1582</v>
      </c>
      <c r="B190" s="4" t="inlineStr">
        <is>
          <t>ZUMO TOMATE 100 CL</t>
        </is>
      </c>
      <c r="C190" s="8" t="n">
        <v>0</v>
      </c>
      <c r="D190" s="9" t="inlineStr">
        <is>
          <t>BRIK</t>
        </is>
      </c>
      <c r="E190" s="10" t="n">
        <v>0.931</v>
      </c>
      <c r="F190" s="13">
        <f>C190*E190</f>
        <v/>
      </c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  <c r="AC190" s="20" t="n"/>
      <c r="AD190" s="20" t="n"/>
      <c r="AE190" s="20" t="n"/>
      <c r="AF190" s="20" t="n"/>
      <c r="AG190" s="20" t="n"/>
      <c r="AH190" s="20" t="n"/>
      <c r="AI190" s="20" t="n"/>
      <c r="AJ190" s="20" t="n"/>
      <c r="AK190" s="20" t="n"/>
      <c r="AL190" s="21">
        <f>SUM(G190:AK190)</f>
        <v/>
      </c>
      <c r="AM190" s="22">
        <f>SUM(C190,AL190)</f>
        <v/>
      </c>
      <c r="AN190" s="23">
        <f>E190*AM190</f>
        <v/>
      </c>
    </row>
    <row r="191" ht="25.05" customHeight="1">
      <c r="A191" s="35" t="inlineStr">
        <is>
          <t>2137</t>
        </is>
      </c>
      <c r="B191" s="4" t="inlineStr">
        <is>
          <t>CHAMPAN MOET &amp; CHANDON ROSE 75 CL</t>
        </is>
      </c>
      <c r="C191" s="8" t="n">
        <v>0</v>
      </c>
      <c r="D191" s="9" t="inlineStr">
        <is>
          <t>BOTELLA</t>
        </is>
      </c>
      <c r="E191" s="10" t="n">
        <v>45.9</v>
      </c>
      <c r="F191" s="13">
        <f>C191*E191</f>
        <v/>
      </c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1">
        <f>SUM(G191:AK191)</f>
        <v/>
      </c>
      <c r="AM191" s="22">
        <f>SUM(C191,AL191)</f>
        <v/>
      </c>
      <c r="AN191" s="23">
        <f>E191*AM191</f>
        <v/>
      </c>
    </row>
    <row r="192" ht="25.05" customHeight="1">
      <c r="A192" s="35" t="inlineStr">
        <is>
          <t>5812</t>
        </is>
      </c>
      <c r="B192" s="4" t="inlineStr">
        <is>
          <t>LICOR CACHAZA 100 CL</t>
        </is>
      </c>
      <c r="C192" s="8" t="n">
        <v>0</v>
      </c>
      <c r="D192" s="9" t="inlineStr">
        <is>
          <t>BOTELLA</t>
        </is>
      </c>
      <c r="E192" s="10" t="n">
        <v>9.681509999999999</v>
      </c>
      <c r="F192" s="13">
        <f>C192*E192</f>
        <v/>
      </c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  <c r="AC192" s="20" t="n"/>
      <c r="AD192" s="20" t="n"/>
      <c r="AE192" s="20" t="n"/>
      <c r="AF192" s="20" t="n"/>
      <c r="AG192" s="20" t="n"/>
      <c r="AH192" s="20" t="n"/>
      <c r="AI192" s="20" t="n"/>
      <c r="AJ192" s="20" t="n"/>
      <c r="AK192" s="20" t="n"/>
      <c r="AL192" s="21">
        <f>SUM(G192:AK192)</f>
        <v/>
      </c>
      <c r="AM192" s="22">
        <f>SUM(C192,AL192)</f>
        <v/>
      </c>
      <c r="AN192" s="23">
        <f>E192*AM192</f>
        <v/>
      </c>
    </row>
    <row r="193" ht="25.05" customHeight="1">
      <c r="A193" s="35" t="inlineStr">
        <is>
          <t>28190</t>
        </is>
      </c>
      <c r="B193" s="4" t="inlineStr">
        <is>
          <t>BIB COCKTAIL DAIQUIRI LIMON C/ALCOHOL FROZEN</t>
        </is>
      </c>
      <c r="C193" s="8" t="n">
        <v>0</v>
      </c>
      <c r="D193" s="9" t="inlineStr">
        <is>
          <t>LITRO</t>
        </is>
      </c>
      <c r="E193" s="10" t="n">
        <v>10.1637</v>
      </c>
      <c r="F193" s="13">
        <f>C193*E193</f>
        <v/>
      </c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1">
        <f>SUM(G193:AK193)</f>
        <v/>
      </c>
      <c r="AM193" s="22">
        <f>SUM(C193,AL193)</f>
        <v/>
      </c>
      <c r="AN193" s="23">
        <f>E193*AM193</f>
        <v/>
      </c>
    </row>
    <row r="194" ht="25.05" customHeight="1">
      <c r="A194" s="35" t="inlineStr">
        <is>
          <t>2132</t>
        </is>
      </c>
      <c r="B194" s="4" t="inlineStr">
        <is>
          <t>VINO GEN CHICLANERO 16 LT</t>
        </is>
      </c>
      <c r="C194" s="8" t="n">
        <v>0</v>
      </c>
      <c r="D194" s="9" t="inlineStr">
        <is>
          <t>LITRO</t>
        </is>
      </c>
      <c r="E194" s="10" t="n">
        <v>4.56444</v>
      </c>
      <c r="F194" s="13">
        <f>C194*E194</f>
        <v/>
      </c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  <c r="AC194" s="20" t="n"/>
      <c r="AD194" s="20" t="n"/>
      <c r="AE194" s="20" t="n"/>
      <c r="AF194" s="20" t="n"/>
      <c r="AG194" s="20" t="n"/>
      <c r="AH194" s="20" t="n"/>
      <c r="AI194" s="20" t="n"/>
      <c r="AJ194" s="20" t="n"/>
      <c r="AK194" s="20" t="n"/>
      <c r="AL194" s="21">
        <f>SUM(G194:AK194)</f>
        <v/>
      </c>
      <c r="AM194" s="22">
        <f>SUM(C194,AL194)</f>
        <v/>
      </c>
      <c r="AN194" s="23">
        <f>E194*AM194</f>
        <v/>
      </c>
    </row>
    <row r="195" ht="25.05" customHeight="1">
      <c r="A195" s="35" t="inlineStr">
        <is>
          <t>4989</t>
        </is>
      </c>
      <c r="B195" s="4" t="inlineStr">
        <is>
          <t>VINO GEN FINO OLOROSO GRANEL</t>
        </is>
      </c>
      <c r="C195" s="8" t="n">
        <v>0</v>
      </c>
      <c r="D195" s="9" t="inlineStr">
        <is>
          <t>LITRO</t>
        </is>
      </c>
      <c r="E195" s="10" t="n">
        <v>4.71986</v>
      </c>
      <c r="F195" s="13">
        <f>C195*E195</f>
        <v/>
      </c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1">
        <f>SUM(G195:AK195)</f>
        <v/>
      </c>
      <c r="AM195" s="22">
        <f>SUM(C195,AL195)</f>
        <v/>
      </c>
      <c r="AN195" s="23">
        <f>E195*AM195</f>
        <v/>
      </c>
    </row>
    <row r="196" ht="25.05" customHeight="1">
      <c r="A196" s="35" t="inlineStr">
        <is>
          <t>25109</t>
        </is>
      </c>
      <c r="B196" s="4" t="inlineStr">
        <is>
          <t>CHAMPAN ABELE 1757 BRUT 37.5 CL</t>
        </is>
      </c>
      <c r="C196" s="8" t="n">
        <v>0</v>
      </c>
      <c r="D196" s="9" t="inlineStr">
        <is>
          <t>BOTELLA</t>
        </is>
      </c>
      <c r="E196" s="10" t="n">
        <v>20.98</v>
      </c>
      <c r="F196" s="13">
        <f>C196*E196</f>
        <v/>
      </c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1">
        <f>SUM(G196:AK196)</f>
        <v/>
      </c>
      <c r="AM196" s="22">
        <f>SUM(C196,AL196)</f>
        <v/>
      </c>
      <c r="AN196" s="23">
        <f>E196*AM196</f>
        <v/>
      </c>
    </row>
    <row r="197" ht="25.05" customHeight="1">
      <c r="A197" s="35" t="inlineStr">
        <is>
          <t>6222</t>
        </is>
      </c>
      <c r="B197" s="35" t="inlineStr">
        <is>
          <t>GIN BOMBAY ORIGINAL 70 CL</t>
        </is>
      </c>
      <c r="C197" s="8" t="n">
        <v>0</v>
      </c>
      <c r="D197" s="36" t="inlineStr">
        <is>
          <t>BOTELLA</t>
        </is>
      </c>
      <c r="E197" s="10" t="n">
        <v>11.36275</v>
      </c>
      <c r="F197" s="13">
        <f>C197*E197</f>
        <v/>
      </c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1">
        <f>SUM(G197:AK197)</f>
        <v/>
      </c>
      <c r="AM197" s="22">
        <f>SUM(C197,AL197)</f>
        <v/>
      </c>
      <c r="AN197" s="23">
        <f>E197*AM197</f>
        <v/>
      </c>
    </row>
    <row r="198" ht="25.05" customHeight="1">
      <c r="A198" s="35" t="inlineStr">
        <is>
          <t>8982</t>
        </is>
      </c>
      <c r="B198" s="35" t="inlineStr">
        <is>
          <t>CAVA CASTELL D'ORDAL RDO SEMI 75 CL</t>
        </is>
      </c>
      <c r="C198" s="8" t="n">
        <v>0</v>
      </c>
      <c r="D198" s="36" t="inlineStr">
        <is>
          <t>BOTELLA</t>
        </is>
      </c>
      <c r="E198" s="10" t="n">
        <v>1.87147</v>
      </c>
      <c r="F198" s="13">
        <f>C198*E198</f>
        <v/>
      </c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  <c r="AC198" s="20" t="n"/>
      <c r="AD198" s="20" t="n"/>
      <c r="AE198" s="20" t="n"/>
      <c r="AF198" s="20" t="n"/>
      <c r="AG198" s="20" t="n"/>
      <c r="AH198" s="20" t="n"/>
      <c r="AI198" s="20" t="n"/>
      <c r="AJ198" s="20" t="n"/>
      <c r="AK198" s="20" t="n"/>
      <c r="AL198" s="21">
        <f>SUM(G198:AK198)</f>
        <v/>
      </c>
      <c r="AM198" s="22">
        <f>SUM(C198,AL198)</f>
        <v/>
      </c>
      <c r="AN198" s="23">
        <f>E198*AM198</f>
        <v/>
      </c>
    </row>
    <row r="199" ht="25.05" customHeight="1">
      <c r="A199" s="35" t="inlineStr">
        <is>
          <t>8968</t>
        </is>
      </c>
      <c r="B199" s="35" t="inlineStr">
        <is>
          <t>MEZCLA FRUTOS SECOS C/GALLETAS SALADAS 1.5 KG</t>
        </is>
      </c>
      <c r="C199" s="8" t="n">
        <v>0</v>
      </c>
      <c r="D199" s="36" t="inlineStr">
        <is>
          <t>BOTE</t>
        </is>
      </c>
      <c r="E199" s="10" t="n">
        <v>7.26</v>
      </c>
      <c r="F199" s="13">
        <f>C199*E199</f>
        <v/>
      </c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1">
        <f>SUM(G199:AK199)</f>
        <v/>
      </c>
      <c r="AM199" s="22">
        <f>SUM(C199,AL199)</f>
        <v/>
      </c>
      <c r="AN199" s="23">
        <f>E199*AM199</f>
        <v/>
      </c>
    </row>
    <row r="200" ht="25.05" customHeight="1">
      <c r="A200" s="35" t="inlineStr">
        <is>
          <t>10360</t>
        </is>
      </c>
      <c r="B200" s="35" t="inlineStr">
        <is>
          <t>TARRINA ARANDANOS 125-150 GR</t>
        </is>
      </c>
      <c r="C200" s="8" t="n">
        <v>0</v>
      </c>
      <c r="D200" s="36" t="inlineStr">
        <is>
          <t>TARRINA</t>
        </is>
      </c>
      <c r="E200" s="10" t="n">
        <v>2.55</v>
      </c>
      <c r="F200" s="13">
        <f>C200*E200</f>
        <v/>
      </c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  <c r="AA200" s="20" t="n"/>
      <c r="AB200" s="20" t="n"/>
      <c r="AC200" s="20" t="n"/>
      <c r="AD200" s="20" t="n"/>
      <c r="AE200" s="20" t="n"/>
      <c r="AF200" s="20" t="n"/>
      <c r="AG200" s="20" t="n"/>
      <c r="AH200" s="20" t="n"/>
      <c r="AI200" s="20" t="n"/>
      <c r="AJ200" s="20" t="n"/>
      <c r="AK200" s="20" t="n"/>
      <c r="AL200" s="21">
        <f>SUM(G200:AK200)</f>
        <v/>
      </c>
      <c r="AM200" s="22">
        <f>SUM(C200,AL200)</f>
        <v/>
      </c>
      <c r="AN200" s="23">
        <f>E200*AM200</f>
        <v/>
      </c>
    </row>
    <row r="201" ht="25.05" customHeight="1">
      <c r="A201" s="35" t="inlineStr">
        <is>
          <t>10361</t>
        </is>
      </c>
      <c r="B201" s="35" t="inlineStr">
        <is>
          <t>MORA TARRINA 125-150 GR</t>
        </is>
      </c>
      <c r="C201" s="8" t="n">
        <v>0</v>
      </c>
      <c r="D201" s="36" t="inlineStr">
        <is>
          <t>TARRINA</t>
        </is>
      </c>
      <c r="E201" s="10" t="n">
        <v>3.4</v>
      </c>
      <c r="F201" s="13">
        <f>C201*E201</f>
        <v/>
      </c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  <c r="X201" s="20" t="n"/>
      <c r="Y201" s="20" t="n"/>
      <c r="Z201" s="20" t="n"/>
      <c r="AA201" s="20" t="n"/>
      <c r="AB201" s="20" t="n"/>
      <c r="AC201" s="20" t="n"/>
      <c r="AD201" s="20" t="n"/>
      <c r="AE201" s="20" t="n"/>
      <c r="AF201" s="20" t="n"/>
      <c r="AG201" s="20" t="n"/>
      <c r="AH201" s="20" t="n"/>
      <c r="AI201" s="20" t="n"/>
      <c r="AJ201" s="20" t="n"/>
      <c r="AK201" s="20" t="n"/>
      <c r="AL201" s="21">
        <f>SUM(G201:AK201)</f>
        <v/>
      </c>
      <c r="AM201" s="22">
        <f>SUM(C201,AL201)</f>
        <v/>
      </c>
      <c r="AN201" s="23">
        <f>E201*AM201</f>
        <v/>
      </c>
    </row>
    <row r="202" ht="25.05" customHeight="1">
      <c r="A202" s="35" t="inlineStr">
        <is>
          <t>10362</t>
        </is>
      </c>
      <c r="B202" s="35" t="inlineStr">
        <is>
          <t>TARRINA FRAMBUESAS 125-150 GR</t>
        </is>
      </c>
      <c r="C202" s="8" t="n">
        <v>0</v>
      </c>
      <c r="D202" s="36" t="inlineStr">
        <is>
          <t>TARRINA</t>
        </is>
      </c>
      <c r="E202" s="10" t="n">
        <v>2.95</v>
      </c>
      <c r="F202" s="13">
        <f>C202*E202</f>
        <v/>
      </c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  <c r="X202" s="20" t="n"/>
      <c r="Y202" s="20" t="n"/>
      <c r="Z202" s="20" t="n"/>
      <c r="AA202" s="20" t="n"/>
      <c r="AB202" s="20" t="n"/>
      <c r="AC202" s="20" t="n"/>
      <c r="AD202" s="20" t="n"/>
      <c r="AE202" s="20" t="n"/>
      <c r="AF202" s="20" t="n"/>
      <c r="AG202" s="20" t="n"/>
      <c r="AH202" s="20" t="n"/>
      <c r="AI202" s="20" t="n"/>
      <c r="AJ202" s="20" t="n"/>
      <c r="AK202" s="20" t="n"/>
      <c r="AL202" s="21">
        <f>SUM(G202:AK202)</f>
        <v/>
      </c>
      <c r="AM202" s="22">
        <f>SUM(C202,AL202)</f>
        <v/>
      </c>
      <c r="AN202" s="23">
        <f>E202*AM202</f>
        <v/>
      </c>
    </row>
    <row r="203" ht="25.05" customHeight="1">
      <c r="A203" s="35" t="inlineStr">
        <is>
          <t>25133</t>
        </is>
      </c>
      <c r="B203" s="35" t="inlineStr">
        <is>
          <t>CONOS QUESO/BACON 650 GR</t>
        </is>
      </c>
      <c r="C203" s="8" t="n">
        <v>0</v>
      </c>
      <c r="D203" s="36" t="inlineStr">
        <is>
          <t>PAQUETE</t>
        </is>
      </c>
      <c r="E203" s="10" t="n">
        <v>4.58</v>
      </c>
      <c r="F203" s="13">
        <f>C203*E203</f>
        <v/>
      </c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  <c r="X203" s="20" t="n"/>
      <c r="Y203" s="20" t="n"/>
      <c r="Z203" s="20" t="n"/>
      <c r="AA203" s="20" t="n"/>
      <c r="AB203" s="20" t="n"/>
      <c r="AC203" s="20" t="n"/>
      <c r="AD203" s="20" t="n"/>
      <c r="AE203" s="20" t="n"/>
      <c r="AF203" s="20" t="n"/>
      <c r="AG203" s="20" t="n"/>
      <c r="AH203" s="20" t="n"/>
      <c r="AI203" s="20" t="n"/>
      <c r="AJ203" s="20" t="n"/>
      <c r="AK203" s="20" t="n"/>
      <c r="AL203" s="21">
        <f>SUM(G203:AK203)</f>
        <v/>
      </c>
      <c r="AM203" s="22">
        <f>SUM(C203,AL203)</f>
        <v/>
      </c>
      <c r="AN203" s="23">
        <f>E203*AM203</f>
        <v/>
      </c>
    </row>
    <row r="204" ht="25.05" customHeight="1">
      <c r="A204" s="35" t="inlineStr">
        <is>
          <t>25134</t>
        </is>
      </c>
      <c r="B204" s="35" t="inlineStr">
        <is>
          <t>SNACK KASKYS 1 KG</t>
        </is>
      </c>
      <c r="C204" s="8" t="n">
        <v>0</v>
      </c>
      <c r="D204" s="36" t="inlineStr">
        <is>
          <t>BOLSA</t>
        </is>
      </c>
      <c r="E204" s="10" t="n">
        <v>6.05</v>
      </c>
      <c r="F204" s="13">
        <f>C204*E204</f>
        <v/>
      </c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  <c r="AA204" s="20" t="n"/>
      <c r="AB204" s="20" t="n"/>
      <c r="AC204" s="20" t="n"/>
      <c r="AD204" s="20" t="n"/>
      <c r="AE204" s="20" t="n"/>
      <c r="AF204" s="20" t="n"/>
      <c r="AG204" s="20" t="n"/>
      <c r="AH204" s="20" t="n"/>
      <c r="AI204" s="20" t="n"/>
      <c r="AJ204" s="20" t="n"/>
      <c r="AK204" s="20" t="n"/>
      <c r="AL204" s="21">
        <f>SUM(G204:AK204)</f>
        <v/>
      </c>
      <c r="AM204" s="22">
        <f>SUM(C204,AL204)</f>
        <v/>
      </c>
      <c r="AN204" s="23">
        <f>E204*AM204</f>
        <v/>
      </c>
    </row>
    <row r="205" ht="25.05" customHeight="1">
      <c r="A205" s="35" t="inlineStr">
        <is>
          <t>5868</t>
        </is>
      </c>
      <c r="B205" s="35" t="inlineStr">
        <is>
          <t>PISTACHO REPELADO CRUDO</t>
        </is>
      </c>
      <c r="C205" s="8" t="n">
        <v>0</v>
      </c>
      <c r="D205" s="36" t="inlineStr">
        <is>
          <t>KILO</t>
        </is>
      </c>
      <c r="E205" s="10" t="n">
        <v>23.76</v>
      </c>
      <c r="F205" s="13">
        <f>C205*E205</f>
        <v/>
      </c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  <c r="AA205" s="20" t="n"/>
      <c r="AB205" s="20" t="n"/>
      <c r="AC205" s="20" t="n"/>
      <c r="AD205" s="20" t="n"/>
      <c r="AE205" s="20" t="n"/>
      <c r="AF205" s="20" t="n"/>
      <c r="AG205" s="20" t="n"/>
      <c r="AH205" s="20" t="n"/>
      <c r="AI205" s="20" t="n"/>
      <c r="AJ205" s="20" t="n"/>
      <c r="AK205" s="20" t="n"/>
      <c r="AL205" s="21">
        <f>SUM(G205:AK205)</f>
        <v/>
      </c>
      <c r="AM205" s="22">
        <f>SUM(C205,AL205)</f>
        <v/>
      </c>
      <c r="AN205" s="23">
        <f>E205*AM205</f>
        <v/>
      </c>
    </row>
    <row r="206" ht="25.05" customHeight="1">
      <c r="A206" s="35" t="inlineStr">
        <is>
          <t>24707</t>
        </is>
      </c>
      <c r="B206" s="35" t="inlineStr">
        <is>
          <t>VINO BCO BARBADILLO MOSCATO FRIZZANTE 75 CL</t>
        </is>
      </c>
      <c r="C206" s="8" t="n">
        <v>0</v>
      </c>
      <c r="D206" s="36" t="inlineStr">
        <is>
          <t>BOTELLA</t>
        </is>
      </c>
      <c r="E206" s="10" t="n">
        <v>4.73759</v>
      </c>
      <c r="F206" s="13">
        <f>C206*E206</f>
        <v/>
      </c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  <c r="X206" s="20" t="n"/>
      <c r="Y206" s="20" t="n"/>
      <c r="Z206" s="20" t="n"/>
      <c r="AA206" s="20" t="n"/>
      <c r="AB206" s="20" t="n"/>
      <c r="AC206" s="20" t="n"/>
      <c r="AD206" s="20" t="n"/>
      <c r="AE206" s="20" t="n"/>
      <c r="AF206" s="20" t="n"/>
      <c r="AG206" s="20" t="n"/>
      <c r="AH206" s="20" t="n"/>
      <c r="AI206" s="20" t="n"/>
      <c r="AJ206" s="20" t="n"/>
      <c r="AK206" s="20" t="n"/>
      <c r="AL206" s="21">
        <f>SUM(G206:AK206)</f>
        <v/>
      </c>
      <c r="AM206" s="22">
        <f>SUM(C206,AL206)</f>
        <v/>
      </c>
      <c r="AN206" s="23">
        <f>E206*AM206</f>
        <v/>
      </c>
    </row>
    <row r="207" ht="25.05" customHeight="1">
      <c r="A207" s="35" t="inlineStr">
        <is>
          <t>1013</t>
        </is>
      </c>
      <c r="B207" s="35" t="inlineStr">
        <is>
          <t>NARANJA Nº 4</t>
        </is>
      </c>
      <c r="C207" s="8" t="n">
        <v>0</v>
      </c>
      <c r="D207" s="36" t="inlineStr">
        <is>
          <t>KILO</t>
        </is>
      </c>
      <c r="E207" s="10" t="n">
        <v>1.25</v>
      </c>
      <c r="F207" s="13">
        <f>C207*E207</f>
        <v/>
      </c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  <c r="AA207" s="20" t="n"/>
      <c r="AB207" s="20" t="n"/>
      <c r="AC207" s="20" t="n"/>
      <c r="AD207" s="20" t="n"/>
      <c r="AE207" s="20" t="n"/>
      <c r="AF207" s="20" t="n"/>
      <c r="AG207" s="20" t="n"/>
      <c r="AH207" s="20" t="n"/>
      <c r="AI207" s="20" t="n"/>
      <c r="AJ207" s="20" t="n"/>
      <c r="AK207" s="20" t="n"/>
      <c r="AL207" s="21">
        <f>SUM(G207:AK207)</f>
        <v/>
      </c>
      <c r="AM207" s="22">
        <f>SUM(C207,AL207)</f>
        <v/>
      </c>
      <c r="AN207" s="23">
        <f>E207*AM207</f>
        <v/>
      </c>
    </row>
    <row r="208" ht="25.05" customHeight="1">
      <c r="A208" s="35" t="inlineStr">
        <is>
          <t>1149</t>
        </is>
      </c>
      <c r="B208" s="35" t="inlineStr">
        <is>
          <t>CAFE CONGELADO</t>
        </is>
      </c>
      <c r="C208" s="8" t="n">
        <v>0</v>
      </c>
      <c r="D208" s="36" t="inlineStr">
        <is>
          <t>BRIK</t>
        </is>
      </c>
      <c r="E208" s="10" t="n">
        <v>43.24</v>
      </c>
      <c r="F208" s="13">
        <f>C208*E208</f>
        <v/>
      </c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  <c r="AA208" s="20" t="n"/>
      <c r="AB208" s="20" t="n"/>
      <c r="AC208" s="20" t="n"/>
      <c r="AD208" s="20" t="n"/>
      <c r="AE208" s="20" t="n"/>
      <c r="AF208" s="20" t="n"/>
      <c r="AG208" s="20" t="n"/>
      <c r="AH208" s="20" t="n"/>
      <c r="AI208" s="20" t="n"/>
      <c r="AJ208" s="20" t="n"/>
      <c r="AK208" s="20" t="n"/>
      <c r="AL208" s="21">
        <f>SUM(G208:AK208)</f>
        <v/>
      </c>
      <c r="AM208" s="22">
        <f>SUM(C208,AL208)</f>
        <v/>
      </c>
      <c r="AN208" s="23">
        <f>E208*AM208</f>
        <v/>
      </c>
    </row>
    <row r="209" ht="25.05" customHeight="1">
      <c r="A209" s="35" t="inlineStr">
        <is>
          <t>5343</t>
        </is>
      </c>
      <c r="B209" s="35" t="inlineStr">
        <is>
          <t>LECHE CONCENTRADA MAQUINA 2 LT</t>
        </is>
      </c>
      <c r="C209" s="8" t="n">
        <v>0</v>
      </c>
      <c r="D209" s="36" t="inlineStr">
        <is>
          <t>BRIK</t>
        </is>
      </c>
      <c r="E209" s="10" t="n">
        <v>14.54</v>
      </c>
      <c r="F209" s="13">
        <f>C209*E209</f>
        <v/>
      </c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  <c r="X209" s="20" t="n"/>
      <c r="Y209" s="20" t="n"/>
      <c r="Z209" s="20" t="n"/>
      <c r="AA209" s="20" t="n"/>
      <c r="AB209" s="20" t="n"/>
      <c r="AC209" s="20" t="n"/>
      <c r="AD209" s="20" t="n"/>
      <c r="AE209" s="20" t="n"/>
      <c r="AF209" s="20" t="n"/>
      <c r="AG209" s="20" t="n"/>
      <c r="AH209" s="20" t="n"/>
      <c r="AI209" s="20" t="n"/>
      <c r="AJ209" s="20" t="n"/>
      <c r="AK209" s="20" t="n"/>
      <c r="AL209" s="21">
        <f>SUM(G209:AK209)</f>
        <v/>
      </c>
      <c r="AM209" s="22">
        <f>SUM(C209,AL209)</f>
        <v/>
      </c>
      <c r="AN209" s="23">
        <f>E209*AM209</f>
        <v/>
      </c>
    </row>
    <row r="210" ht="25.05" customHeight="1">
      <c r="A210" s="35" t="inlineStr">
        <is>
          <t>10363</t>
        </is>
      </c>
      <c r="B210" s="35" t="inlineStr">
        <is>
          <t>GROSELLAS TARRINA 150 GR</t>
        </is>
      </c>
      <c r="C210" s="8" t="n">
        <v>0</v>
      </c>
      <c r="D210" s="36" t="inlineStr">
        <is>
          <t>TARRINA</t>
        </is>
      </c>
      <c r="E210" s="10" t="n">
        <v>4.95</v>
      </c>
      <c r="F210" s="13">
        <f>C210*E210</f>
        <v/>
      </c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  <c r="X210" s="20" t="n"/>
      <c r="Y210" s="20" t="n"/>
      <c r="Z210" s="20" t="n"/>
      <c r="AA210" s="20" t="n"/>
      <c r="AB210" s="20" t="n"/>
      <c r="AC210" s="20" t="n"/>
      <c r="AD210" s="20" t="n"/>
      <c r="AE210" s="20" t="n"/>
      <c r="AF210" s="20" t="n"/>
      <c r="AG210" s="20" t="n"/>
      <c r="AH210" s="20" t="n"/>
      <c r="AI210" s="20" t="n"/>
      <c r="AJ210" s="20" t="n"/>
      <c r="AK210" s="20" t="n"/>
      <c r="AL210" s="21">
        <f>SUM(G210:AK210)</f>
        <v/>
      </c>
      <c r="AM210" s="22">
        <f>SUM(C210,AL210)</f>
        <v/>
      </c>
      <c r="AN210" s="23">
        <f>E210*AM210</f>
        <v/>
      </c>
    </row>
    <row r="211" ht="25.05" customHeight="1">
      <c r="A211" s="35" t="inlineStr">
        <is>
          <t>15093</t>
        </is>
      </c>
      <c r="B211" s="35" t="inlineStr">
        <is>
          <t>ZUMO NARANJA 5 L</t>
        </is>
      </c>
      <c r="C211" s="8" t="n">
        <v>0</v>
      </c>
      <c r="D211" s="36" t="inlineStr">
        <is>
          <t>LITRO</t>
        </is>
      </c>
      <c r="E211" s="10" t="n">
        <v>2.60415</v>
      </c>
      <c r="F211" s="13">
        <f>C211*E211</f>
        <v/>
      </c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  <c r="AA211" s="20" t="n"/>
      <c r="AB211" s="20" t="n"/>
      <c r="AC211" s="20" t="n"/>
      <c r="AD211" s="20" t="n"/>
      <c r="AE211" s="20" t="n"/>
      <c r="AF211" s="20" t="n"/>
      <c r="AG211" s="20" t="n"/>
      <c r="AH211" s="20" t="n"/>
      <c r="AI211" s="20" t="n"/>
      <c r="AJ211" s="20" t="n"/>
      <c r="AK211" s="20" t="n"/>
      <c r="AL211" s="21">
        <f>SUM(G211:AK211)</f>
        <v/>
      </c>
      <c r="AM211" s="22">
        <f>SUM(C211,AL211)</f>
        <v/>
      </c>
      <c r="AN211" s="23">
        <f>E211*AM211</f>
        <v/>
      </c>
    </row>
    <row r="212" ht="25.05" customHeight="1">
      <c r="A212" s="35" t="inlineStr">
        <is>
          <t>34</t>
        </is>
      </c>
      <c r="B212" s="35" t="inlineStr">
        <is>
          <t>WHISKY J &amp; B 70 CL</t>
        </is>
      </c>
      <c r="C212" s="8" t="n">
        <v>0</v>
      </c>
      <c r="D212" s="36" t="inlineStr">
        <is>
          <t>BOTELLA</t>
        </is>
      </c>
      <c r="E212" s="10" t="n">
        <v>9.85</v>
      </c>
      <c r="F212" s="13">
        <f>C212*E212</f>
        <v/>
      </c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  <c r="X212" s="20" t="n"/>
      <c r="Y212" s="20" t="n"/>
      <c r="Z212" s="20" t="n"/>
      <c r="AA212" s="20" t="n"/>
      <c r="AB212" s="20" t="n"/>
      <c r="AC212" s="20" t="n"/>
      <c r="AD212" s="20" t="n"/>
      <c r="AE212" s="20" t="n"/>
      <c r="AF212" s="20" t="n"/>
      <c r="AG212" s="20" t="n"/>
      <c r="AH212" s="20" t="n"/>
      <c r="AI212" s="20" t="n"/>
      <c r="AJ212" s="20" t="n"/>
      <c r="AK212" s="20" t="n"/>
      <c r="AL212" s="21">
        <f>SUM(G212:AK212)</f>
        <v/>
      </c>
      <c r="AM212" s="22">
        <f>SUM(C212,AL212)</f>
        <v/>
      </c>
      <c r="AN212" s="23">
        <f>E212*AM212</f>
        <v/>
      </c>
    </row>
    <row r="213" ht="25.05" customHeight="1">
      <c r="A213" s="35" t="inlineStr">
        <is>
          <t>5043</t>
        </is>
      </c>
      <c r="B213" s="35" t="inlineStr">
        <is>
          <t>VODKA SMIRNOFF ROJA 70 CL</t>
        </is>
      </c>
      <c r="C213" s="8" t="n">
        <v>0</v>
      </c>
      <c r="D213" s="36" t="inlineStr">
        <is>
          <t>BOTELLA</t>
        </is>
      </c>
      <c r="E213" s="10" t="n">
        <v>8.57</v>
      </c>
      <c r="F213" s="13">
        <f>C213*E213</f>
        <v/>
      </c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  <c r="AA213" s="20" t="n"/>
      <c r="AB213" s="20" t="n"/>
      <c r="AC213" s="20" t="n"/>
      <c r="AD213" s="20" t="n"/>
      <c r="AE213" s="20" t="n"/>
      <c r="AF213" s="20" t="n"/>
      <c r="AG213" s="20" t="n"/>
      <c r="AH213" s="20" t="n"/>
      <c r="AI213" s="20" t="n"/>
      <c r="AJ213" s="20" t="n"/>
      <c r="AK213" s="20" t="n"/>
      <c r="AL213" s="21">
        <f>SUM(G213:AK213)</f>
        <v/>
      </c>
      <c r="AM213" s="22">
        <f>SUM(C213,AL213)</f>
        <v/>
      </c>
      <c r="AN213" s="23">
        <f>E213*AM213</f>
        <v/>
      </c>
    </row>
    <row r="214" ht="25.05" customHeight="1">
      <c r="A214" s="35" t="inlineStr">
        <is>
          <t>9</t>
        </is>
      </c>
      <c r="B214" s="35" t="inlineStr">
        <is>
          <t>VODKA SMIRNOFF ROJA 100 CL</t>
        </is>
      </c>
      <c r="C214" s="8" t="n">
        <v>0</v>
      </c>
      <c r="D214" s="36" t="inlineStr">
        <is>
          <t>BOTELLA</t>
        </is>
      </c>
      <c r="E214" s="10" t="n">
        <v>10.2</v>
      </c>
      <c r="F214" s="13">
        <f>C214*E214</f>
        <v/>
      </c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  <c r="X214" s="20" t="n"/>
      <c r="Y214" s="20" t="n"/>
      <c r="Z214" s="20" t="n"/>
      <c r="AA214" s="20" t="n"/>
      <c r="AB214" s="20" t="n"/>
      <c r="AC214" s="20" t="n"/>
      <c r="AD214" s="20" t="n"/>
      <c r="AE214" s="20" t="n"/>
      <c r="AF214" s="20" t="n"/>
      <c r="AG214" s="20" t="n"/>
      <c r="AH214" s="20" t="n"/>
      <c r="AI214" s="20" t="n"/>
      <c r="AJ214" s="20" t="n"/>
      <c r="AK214" s="20" t="n"/>
      <c r="AL214" s="21">
        <f>SUM(G214:AK214)</f>
        <v/>
      </c>
      <c r="AM214" s="22">
        <f>SUM(C214,AL214)</f>
        <v/>
      </c>
      <c r="AN214" s="23">
        <f>E214*AM214</f>
        <v/>
      </c>
    </row>
    <row r="215" ht="25.05" customHeight="1">
      <c r="A215" s="35" t="inlineStr">
        <is>
          <t>11231</t>
        </is>
      </c>
      <c r="B215" s="35" t="inlineStr">
        <is>
          <t>CHIPS VEGETALES 500-600 GR</t>
        </is>
      </c>
      <c r="C215" s="8" t="n">
        <v>0</v>
      </c>
      <c r="D215" s="36" t="inlineStr">
        <is>
          <t>BOLSA</t>
        </is>
      </c>
      <c r="E215" s="10" t="n">
        <v>6.171</v>
      </c>
      <c r="F215" s="13">
        <f>C215*E215</f>
        <v/>
      </c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  <c r="X215" s="20" t="n"/>
      <c r="Y215" s="20" t="n"/>
      <c r="Z215" s="20" t="n"/>
      <c r="AA215" s="20" t="n"/>
      <c r="AB215" s="20" t="n"/>
      <c r="AC215" s="20" t="n"/>
      <c r="AD215" s="20" t="n"/>
      <c r="AE215" s="20" t="n"/>
      <c r="AF215" s="20" t="n"/>
      <c r="AG215" s="20" t="n"/>
      <c r="AH215" s="20" t="n"/>
      <c r="AI215" s="20" t="n"/>
      <c r="AJ215" s="20" t="n"/>
      <c r="AK215" s="20" t="n"/>
      <c r="AL215" s="21">
        <f>SUM(G215:AK215)</f>
        <v/>
      </c>
      <c r="AM215" s="22">
        <f>SUM(C215,AL215)</f>
        <v/>
      </c>
      <c r="AN215" s="23">
        <f>E215*AM215</f>
        <v/>
      </c>
    </row>
    <row r="216" ht="25.05" customHeight="1">
      <c r="A216" s="35" t="inlineStr">
        <is>
          <t>10121</t>
        </is>
      </c>
      <c r="B216" s="35" t="inlineStr">
        <is>
          <t>CAVA PINKY S/ALCOHOL 75 CL (NIÑOS)</t>
        </is>
      </c>
      <c r="C216" s="8" t="n">
        <v>0</v>
      </c>
      <c r="D216" s="36" t="inlineStr">
        <is>
          <t>BOTELLA</t>
        </is>
      </c>
      <c r="E216" s="10" t="n">
        <v>4.32778</v>
      </c>
      <c r="F216" s="13">
        <f>C216*E216</f>
        <v/>
      </c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  <c r="X216" s="20" t="n"/>
      <c r="Y216" s="20" t="n"/>
      <c r="Z216" s="20" t="n"/>
      <c r="AA216" s="20" t="n"/>
      <c r="AB216" s="20" t="n"/>
      <c r="AC216" s="20" t="n"/>
      <c r="AD216" s="20" t="n"/>
      <c r="AE216" s="20" t="n"/>
      <c r="AF216" s="20" t="n"/>
      <c r="AG216" s="20" t="n"/>
      <c r="AH216" s="20" t="n"/>
      <c r="AI216" s="20" t="n"/>
      <c r="AJ216" s="20" t="n"/>
      <c r="AK216" s="20" t="n"/>
      <c r="AL216" s="21">
        <f>SUM(G216:AK216)</f>
        <v/>
      </c>
      <c r="AM216" s="22">
        <f>SUM(C216,AL216)</f>
        <v/>
      </c>
      <c r="AN216" s="23">
        <f>E216*AM216</f>
        <v/>
      </c>
    </row>
    <row r="217" ht="25.05" customHeight="1">
      <c r="A217" s="35" t="inlineStr">
        <is>
          <t>26949</t>
        </is>
      </c>
      <c r="B217" s="35" t="inlineStr">
        <is>
          <t>CERVEZA ALHAMBRA RESERVA 1925 C/R 33 CL</t>
        </is>
      </c>
      <c r="C217" s="8" t="n">
        <v>0</v>
      </c>
      <c r="D217" s="36" t="inlineStr">
        <is>
          <t>BOTELLA</t>
        </is>
      </c>
      <c r="E217" s="10" t="n">
        <v>0.76072</v>
      </c>
      <c r="F217" s="13">
        <f>C217*E217</f>
        <v/>
      </c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  <c r="X217" s="20" t="n"/>
      <c r="Y217" s="20" t="n"/>
      <c r="Z217" s="20" t="n"/>
      <c r="AA217" s="20" t="n"/>
      <c r="AB217" s="20" t="n"/>
      <c r="AC217" s="20" t="n"/>
      <c r="AD217" s="20" t="n"/>
      <c r="AE217" s="20" t="n"/>
      <c r="AF217" s="20" t="n"/>
      <c r="AG217" s="20" t="n"/>
      <c r="AH217" s="20" t="n"/>
      <c r="AI217" s="20" t="n"/>
      <c r="AJ217" s="20" t="n"/>
      <c r="AK217" s="20" t="n"/>
      <c r="AL217" s="21">
        <f>SUM(G217:AK217)</f>
        <v/>
      </c>
      <c r="AM217" s="22">
        <f>SUM(C217,AL217)</f>
        <v/>
      </c>
      <c r="AN217" s="23">
        <f>E217*AM217</f>
        <v/>
      </c>
    </row>
    <row r="218" ht="25.05" customHeight="1">
      <c r="A218" s="35" t="inlineStr">
        <is>
          <t>583</t>
        </is>
      </c>
      <c r="B218" s="35" t="inlineStr">
        <is>
          <t>SIROPE FRESA</t>
        </is>
      </c>
      <c r="C218" s="8" t="n">
        <v>0</v>
      </c>
      <c r="D218" s="36" t="inlineStr">
        <is>
          <t>BOTE</t>
        </is>
      </c>
      <c r="E218" s="10" t="n">
        <v>3.52133</v>
      </c>
      <c r="F218" s="13">
        <f>C218*E218</f>
        <v/>
      </c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  <c r="X218" s="20" t="n"/>
      <c r="Y218" s="20" t="n"/>
      <c r="Z218" s="20" t="n"/>
      <c r="AA218" s="20" t="n"/>
      <c r="AB218" s="20" t="n"/>
      <c r="AC218" s="20" t="n"/>
      <c r="AD218" s="20" t="n"/>
      <c r="AE218" s="20" t="n"/>
      <c r="AF218" s="20" t="n"/>
      <c r="AG218" s="20" t="n"/>
      <c r="AH218" s="20" t="n"/>
      <c r="AI218" s="20" t="n"/>
      <c r="AJ218" s="20" t="n"/>
      <c r="AK218" s="20" t="n"/>
      <c r="AL218" s="21">
        <f>SUM(G218:AK218)</f>
        <v/>
      </c>
      <c r="AM218" s="22">
        <f>SUM(C218,AL218)</f>
        <v/>
      </c>
      <c r="AN218" s="23">
        <f>E218*AM218</f>
        <v/>
      </c>
    </row>
    <row r="219" ht="22.05" customHeight="1">
      <c r="C219" s="8">
        <f>SUM(C7:C218)</f>
        <v/>
      </c>
      <c r="E219" s="11" t="inlineStr">
        <is>
          <t>ESTOCAJE  INICIAL</t>
        </is>
      </c>
      <c r="F219" s="12">
        <f>SUM(F7:F218)</f>
        <v/>
      </c>
      <c r="AL219" s="8">
        <f>SUM(AL7:AL218)</f>
        <v/>
      </c>
      <c r="AM219" s="8">
        <f>SUM(AM7:AM218)</f>
        <v/>
      </c>
      <c r="AN219" s="24">
        <f>SUM(AN7:AN218)</f>
        <v/>
      </c>
    </row>
    <row r="220" ht="22.05" customHeight="1">
      <c r="E220" s="4" t="n"/>
      <c r="F220" s="4" t="n"/>
    </row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6:F6"/>
  <mergeCells count="3">
    <mergeCell ref="AL5:AL6"/>
    <mergeCell ref="AN5:AN6"/>
    <mergeCell ref="AM5:AM6"/>
  </mergeCells>
  <conditionalFormatting sqref="C7:C190">
    <cfRule type="expression" priority="1" dxfId="0">
      <formula>C7&gt;#REF!</formula>
    </cfRule>
  </conditionalFormatting>
  <pageMargins left="0.7" right="0.7" top="0.75" bottom="0.75" header="0" footer="0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2026-07-21T17:17:00Z</dcterms:created>
  <dcterms:modified xsi:type="dcterms:W3CDTF">2026-08-29T13:16:30Z</dcterms:modified>
  <cp:lastModifiedBy>Walter Cutiño Ledo</cp:lastModifiedBy>
</cp:coreProperties>
</file>