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xtraccion" sheetId="1" state="visible" r:id="rId1"/>
  </sheets>
  <definedNames>
    <definedName name="_xlnm._FilterDatabase" localSheetId="0" hidden="1">'extraccion'!$A$6:$F$6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color rgb="FF000000"/>
      <sz val="11"/>
      <scheme val="minor"/>
    </font>
    <font>
      <name val="Calibri"/>
      <color theme="1"/>
      <sz val="10"/>
      <scheme val="minor"/>
    </font>
    <font>
      <name val="Calibri"/>
      <color rgb="FF000000"/>
      <sz val="11"/>
    </font>
    <font>
      <name val="Calibri"/>
      <sz val="11"/>
    </font>
    <font>
      <name val="Calibri"/>
      <color theme="1"/>
      <sz val="11"/>
      <scheme val="minor"/>
    </font>
    <font>
      <name val="Calibri"/>
      <b val="1"/>
      <color rgb="FF333399"/>
      <sz val="18"/>
    </font>
    <font>
      <name val="Arial Black"/>
      <b val="1"/>
      <color theme="1"/>
      <sz val="11"/>
    </font>
    <font>
      <name val="Arial Black"/>
      <b val="1"/>
      <color theme="1"/>
      <sz val="7"/>
    </font>
    <font>
      <name val="Arial Black"/>
      <b val="1"/>
      <color theme="1"/>
      <sz val="8"/>
    </font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color theme="1"/>
      <sz val="10"/>
    </font>
    <font>
      <name val="Calibri"/>
      <b val="1"/>
      <color theme="1"/>
      <sz val="11"/>
    </font>
    <font>
      <name val="Calibri"/>
      <color theme="1"/>
      <sz val="7"/>
    </font>
    <font>
      <name val="Calibri"/>
      <family val="2"/>
      <color rgb="FF000000"/>
      <sz val="11"/>
    </font>
    <font>
      <name val="Calibri"/>
      <family val="2"/>
      <b val="1"/>
      <color theme="1"/>
      <sz val="16"/>
      <scheme val="minor"/>
    </font>
  </fonts>
  <fills count="10">
    <fill>
      <patternFill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002855"/>
        <bgColor rgb="FF002855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FFC000"/>
        <bgColor rgb="FFFFE599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7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0" fillId="5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" fontId="15" fillId="0" borderId="0" applyAlignment="1" pivotButton="0" quotePrefix="0" xfId="0">
      <alignment horizontal="center" vertical="center"/>
    </xf>
    <xf numFmtId="0" fontId="11" fillId="5" borderId="6" applyAlignment="1" pivotButton="0" quotePrefix="0" xfId="0">
      <alignment horizontal="center" vertical="center"/>
    </xf>
    <xf numFmtId="4" fontId="10" fillId="5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4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4" fontId="2" fillId="9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9" fillId="6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2" fontId="13" fillId="7" borderId="3" applyAlignment="1" pivotButton="0" quotePrefix="0" xfId="0">
      <alignment horizontal="center" vertical="center"/>
    </xf>
    <xf numFmtId="2" fontId="9" fillId="8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2" fontId="6" fillId="2" borderId="10" applyAlignment="1" pivotButton="0" quotePrefix="0" xfId="0">
      <alignment horizontal="center" vertical="center"/>
    </xf>
    <xf numFmtId="2" fontId="6" fillId="2" borderId="9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2" fontId="6" fillId="2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8" pivotButton="0" quotePrefix="0" xfId="0"/>
    <xf numFmtId="0" fontId="0" fillId="0" borderId="9" pivotButton="0" quotePrefix="0" xfId="0"/>
    <xf numFmtId="49" fontId="9" fillId="0" borderId="0" applyAlignment="1" pivotButton="0" quotePrefix="0" xfId="0">
      <alignment horizontal="center" vertical="center"/>
    </xf>
    <xf numFmtId="49" fontId="12" fillId="0" borderId="0" applyAlignment="1" pivotButton="0" quotePrefix="0" xfId="0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129540</colOff>
      <row>0</row>
      <rowOff>0</rowOff>
    </from>
    <ext cx="510540" cy="541020"/>
    <pic>
      <nvPicPr>
        <cNvPr id="3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129540" y="0"/>
          <a:ext cx="510540" cy="54102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1008"/>
  <sheetViews>
    <sheetView tabSelected="1" zoomScale="70" zoomScaleNormal="70" workbookViewId="0">
      <selection activeCell="E10" sqref="E10"/>
    </sheetView>
  </sheetViews>
  <sheetFormatPr baseColWidth="10" defaultColWidth="14.44140625" defaultRowHeight="25.05" customHeight="1"/>
  <cols>
    <col width="10.77734375" customWidth="1" style="1" min="1" max="1"/>
    <col width="60.77734375" customWidth="1" style="1" min="2" max="2"/>
    <col width="15.77734375" customWidth="1" style="1" min="3" max="6"/>
    <col width="5.77734375" customWidth="1" style="1" min="7" max="37"/>
    <col width="25.77734375" customWidth="1" style="1" min="38" max="38"/>
    <col width="40.77734375" customWidth="1" style="1" min="39" max="39"/>
    <col width="15.77734375" customWidth="1" style="1" min="40" max="40"/>
    <col width="14.44140625" customWidth="1" style="1" min="41" max="16384"/>
  </cols>
  <sheetData>
    <row r="1" ht="25.05" customHeight="1">
      <c r="E1" s="4" t="n"/>
      <c r="F1" s="4" t="n"/>
    </row>
    <row r="2" ht="25.05" customHeight="1">
      <c r="E2" s="4" t="n"/>
      <c r="F2" s="4" t="n"/>
    </row>
    <row r="3" ht="25.05" customHeight="1">
      <c r="E3" s="4" t="n"/>
      <c r="F3" s="4" t="n"/>
    </row>
    <row r="4" ht="25.05" customHeight="1">
      <c r="B4" s="21" t="inlineStr">
        <is>
          <t>COMEDOR</t>
        </is>
      </c>
      <c r="E4" s="4" t="n"/>
      <c r="F4" s="4" t="n"/>
      <c r="H4" s="14" t="n"/>
    </row>
    <row r="5" ht="25.05" customHeight="1">
      <c r="E5" s="4" t="n"/>
      <c r="F5" s="4" t="n"/>
      <c r="G5" s="15" t="inlineStr">
        <is>
          <t>X</t>
        </is>
      </c>
      <c r="H5" s="15" t="inlineStr">
        <is>
          <t>J</t>
        </is>
      </c>
      <c r="I5" s="15" t="inlineStr">
        <is>
          <t>V</t>
        </is>
      </c>
      <c r="J5" s="16" t="inlineStr">
        <is>
          <t>S</t>
        </is>
      </c>
      <c r="K5" s="16" t="inlineStr">
        <is>
          <t>D</t>
        </is>
      </c>
      <c r="L5" s="17" t="inlineStr">
        <is>
          <t>L</t>
        </is>
      </c>
      <c r="M5" s="15" t="inlineStr">
        <is>
          <t>M</t>
        </is>
      </c>
      <c r="N5" s="15" t="inlineStr">
        <is>
          <t>X</t>
        </is>
      </c>
      <c r="O5" s="15" t="inlineStr">
        <is>
          <t>J</t>
        </is>
      </c>
      <c r="P5" s="15" t="inlineStr">
        <is>
          <t>V</t>
        </is>
      </c>
      <c r="Q5" s="16" t="inlineStr">
        <is>
          <t>S</t>
        </is>
      </c>
      <c r="R5" s="16" t="inlineStr">
        <is>
          <t>D</t>
        </is>
      </c>
      <c r="S5" s="17" t="inlineStr">
        <is>
          <t>L</t>
        </is>
      </c>
      <c r="T5" s="15" t="inlineStr">
        <is>
          <t>M</t>
        </is>
      </c>
      <c r="U5" s="15" t="inlineStr">
        <is>
          <t>X</t>
        </is>
      </c>
      <c r="V5" s="15" t="inlineStr">
        <is>
          <t>J</t>
        </is>
      </c>
      <c r="W5" s="15" t="inlineStr">
        <is>
          <t>V</t>
        </is>
      </c>
      <c r="X5" s="16" t="inlineStr">
        <is>
          <t>S</t>
        </is>
      </c>
      <c r="Y5" s="16" t="inlineStr">
        <is>
          <t>D</t>
        </is>
      </c>
      <c r="Z5" s="17" t="inlineStr">
        <is>
          <t>L</t>
        </is>
      </c>
      <c r="AA5" s="15" t="inlineStr">
        <is>
          <t>M</t>
        </is>
      </c>
      <c r="AB5" s="15" t="inlineStr">
        <is>
          <t>X</t>
        </is>
      </c>
      <c r="AC5" s="15" t="inlineStr">
        <is>
          <t>J</t>
        </is>
      </c>
      <c r="AD5" s="15" t="inlineStr">
        <is>
          <t>V</t>
        </is>
      </c>
      <c r="AE5" s="16" t="inlineStr">
        <is>
          <t>S</t>
        </is>
      </c>
      <c r="AF5" s="16" t="inlineStr">
        <is>
          <t>D</t>
        </is>
      </c>
      <c r="AG5" s="17" t="inlineStr">
        <is>
          <t>L</t>
        </is>
      </c>
      <c r="AH5" s="15" t="inlineStr">
        <is>
          <t>M</t>
        </is>
      </c>
      <c r="AI5" s="15" t="inlineStr">
        <is>
          <t>X</t>
        </is>
      </c>
      <c r="AJ5" s="15" t="inlineStr">
        <is>
          <t>J</t>
        </is>
      </c>
      <c r="AK5" s="18" t="inlineStr">
        <is>
          <t>V</t>
        </is>
      </c>
      <c r="AL5" s="26" t="inlineStr">
        <is>
          <t>EXTRACION
  MENSUAL</t>
        </is>
      </c>
      <c r="AM5" s="32" t="inlineStr">
        <is>
          <t xml:space="preserve">suma  stok inicial
+  estracion mensual   </t>
        </is>
      </c>
      <c r="AN5" s="33" t="inlineStr">
        <is>
          <t>VALOR</t>
        </is>
      </c>
    </row>
    <row r="6" ht="25.05" customHeight="1">
      <c r="A6" s="13" t="inlineStr">
        <is>
          <t>Cód.Art.</t>
        </is>
      </c>
      <c r="B6" s="13" t="inlineStr">
        <is>
          <t>Artículo</t>
        </is>
      </c>
      <c r="C6" s="2" t="inlineStr">
        <is>
          <t>Cnt.Stk.</t>
        </is>
      </c>
      <c r="D6" s="5" t="inlineStr">
        <is>
          <t>Frm.Stk.</t>
        </is>
      </c>
      <c r="E6" s="6" t="inlineStr">
        <is>
          <t>Prc.Med.EUR</t>
        </is>
      </c>
      <c r="F6" s="6" t="inlineStr">
        <is>
          <t>Total EUR</t>
        </is>
      </c>
      <c r="G6" s="15" t="n">
        <v>1</v>
      </c>
      <c r="H6" s="15" t="n">
        <v>2</v>
      </c>
      <c r="I6" s="15" t="n">
        <v>3</v>
      </c>
      <c r="J6" s="16" t="n">
        <v>4</v>
      </c>
      <c r="K6" s="16" t="n">
        <v>5</v>
      </c>
      <c r="L6" s="15" t="n">
        <v>6</v>
      </c>
      <c r="M6" s="15" t="n">
        <v>7</v>
      </c>
      <c r="N6" s="15" t="n">
        <v>8</v>
      </c>
      <c r="O6" s="15" t="n">
        <v>9</v>
      </c>
      <c r="P6" s="15" t="n">
        <v>10</v>
      </c>
      <c r="Q6" s="16" t="n">
        <v>11</v>
      </c>
      <c r="R6" s="16" t="n">
        <v>12</v>
      </c>
      <c r="S6" s="15" t="n">
        <v>13</v>
      </c>
      <c r="T6" s="15" t="n">
        <v>14</v>
      </c>
      <c r="U6" s="15" t="n">
        <v>15</v>
      </c>
      <c r="V6" s="15" t="n">
        <v>16</v>
      </c>
      <c r="W6" s="15" t="n">
        <v>17</v>
      </c>
      <c r="X6" s="16" t="n">
        <v>18</v>
      </c>
      <c r="Y6" s="16" t="n">
        <v>19</v>
      </c>
      <c r="Z6" s="15" t="n">
        <v>20</v>
      </c>
      <c r="AA6" s="15" t="n">
        <v>21</v>
      </c>
      <c r="AB6" s="15" t="n">
        <v>22</v>
      </c>
      <c r="AC6" s="15" t="n">
        <v>23</v>
      </c>
      <c r="AD6" s="15" t="n">
        <v>24</v>
      </c>
      <c r="AE6" s="16" t="n">
        <v>25</v>
      </c>
      <c r="AF6" s="16" t="n">
        <v>26</v>
      </c>
      <c r="AG6" s="15" t="n">
        <v>27</v>
      </c>
      <c r="AH6" s="15" t="n">
        <v>28</v>
      </c>
      <c r="AI6" s="15" t="n">
        <v>29</v>
      </c>
      <c r="AJ6" s="15" t="n">
        <v>30</v>
      </c>
      <c r="AK6" s="18" t="n">
        <v>31</v>
      </c>
      <c r="AL6" s="34" t="n"/>
      <c r="AM6" s="35" t="n"/>
      <c r="AN6" s="36" t="n"/>
    </row>
    <row r="7" ht="25.05" customHeight="1">
      <c r="A7" s="12" t="n">
        <v>30756</v>
      </c>
      <c r="B7" s="12" t="inlineStr">
        <is>
          <t>AZUCAR TERRON BLANCO 4 GR</t>
        </is>
      </c>
      <c r="C7" s="3" t="n">
        <v>0</v>
      </c>
      <c r="D7" s="7" t="inlineStr">
        <is>
          <t>UNIDAD</t>
        </is>
      </c>
      <c r="E7" s="8" t="n">
        <v>0.01037</v>
      </c>
      <c r="F7" s="20">
        <f>C7*E7</f>
        <v/>
      </c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22">
        <f>SUM(G7:AK7)</f>
        <v/>
      </c>
      <c r="AM7" s="23">
        <f>SUM(C7,AL7)</f>
        <v/>
      </c>
      <c r="AN7" s="24">
        <f>E7*AM7</f>
        <v/>
      </c>
    </row>
    <row r="8" ht="25.05" customHeight="1">
      <c r="A8" s="12" t="n">
        <v>14279</v>
      </c>
      <c r="B8" s="12" t="inlineStr">
        <is>
          <t>AZUCAR TERRON MORENO 4 GR</t>
        </is>
      </c>
      <c r="C8" s="3" t="n">
        <v>0</v>
      </c>
      <c r="D8" s="7" t="inlineStr">
        <is>
          <t>UNIDAD</t>
        </is>
      </c>
      <c r="E8" s="8" t="n">
        <v>0.0115</v>
      </c>
      <c r="F8" s="20">
        <f>C8*E8</f>
        <v/>
      </c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22">
        <f>SUM(G8:AK8)</f>
        <v/>
      </c>
      <c r="AM8" s="23">
        <f>SUM(C8,AL8)</f>
        <v/>
      </c>
      <c r="AN8" s="24">
        <f>E8*AM8</f>
        <v/>
      </c>
    </row>
    <row r="9" ht="25.05" customHeight="1">
      <c r="A9" s="12" t="n">
        <v>24274</v>
      </c>
      <c r="B9" s="12" t="inlineStr">
        <is>
          <t>EDULCORANTE PASTILLAS 650 UD</t>
        </is>
      </c>
      <c r="C9" s="3" t="n">
        <v>0</v>
      </c>
      <c r="D9" s="7" t="inlineStr">
        <is>
          <t>UNIDAD</t>
        </is>
      </c>
      <c r="E9" s="8" t="n">
        <v>1.371</v>
      </c>
      <c r="F9" s="20">
        <f>C9*E9</f>
        <v/>
      </c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22">
        <f>SUM(G9:AK9)</f>
        <v/>
      </c>
      <c r="AM9" s="23">
        <f>SUM(C9,AL9)</f>
        <v/>
      </c>
      <c r="AN9" s="24">
        <f>E9*AM9</f>
        <v/>
      </c>
    </row>
    <row r="10" ht="25.05" customHeight="1">
      <c r="A10" s="12" t="n">
        <v>21900</v>
      </c>
      <c r="B10" s="12" t="inlineStr">
        <is>
          <t>CREMA LECHE 100 GR</t>
        </is>
      </c>
      <c r="C10" s="3" t="n">
        <v>0</v>
      </c>
      <c r="D10" s="7" t="inlineStr">
        <is>
          <t>BOTELLA</t>
        </is>
      </c>
      <c r="E10" s="8" t="n">
        <v>1.391</v>
      </c>
      <c r="F10" s="20">
        <f>C10*E10</f>
        <v/>
      </c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22">
        <f>SUM(G10:AK10)</f>
        <v/>
      </c>
      <c r="AM10" s="23">
        <f>SUM(C10,AL10)</f>
        <v/>
      </c>
      <c r="AN10" s="24">
        <f>E10*AM10</f>
        <v/>
      </c>
    </row>
    <row r="11" ht="25.05" customHeight="1">
      <c r="A11" s="12" t="n">
        <v>2132</v>
      </c>
      <c r="B11" s="12" t="inlineStr">
        <is>
          <t>VINO GEN CHICLANERO 16 LT</t>
        </is>
      </c>
      <c r="C11" s="3" t="n">
        <v>0</v>
      </c>
      <c r="D11" s="7" t="inlineStr">
        <is>
          <t>LITRO</t>
        </is>
      </c>
      <c r="E11" s="8" t="n">
        <v>4.5387</v>
      </c>
      <c r="F11" s="20">
        <f>C11*E11</f>
        <v/>
      </c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22">
        <f>SUM(G11:AK11)</f>
        <v/>
      </c>
      <c r="AM11" s="23">
        <f>SUM(C11,AL11)</f>
        <v/>
      </c>
      <c r="AN11" s="24">
        <f>E11*AM11</f>
        <v/>
      </c>
    </row>
    <row r="12" ht="25.05" customHeight="1">
      <c r="A12" s="12" t="n">
        <v>2134</v>
      </c>
      <c r="B12" s="12" t="inlineStr">
        <is>
          <t>VINO GEN CHICLANERO 37,5 CL</t>
        </is>
      </c>
      <c r="C12" s="3" t="n">
        <v>0</v>
      </c>
      <c r="D12" s="7" t="inlineStr">
        <is>
          <t>BOTELLA</t>
        </is>
      </c>
      <c r="E12" s="8" t="n">
        <v>2.933017</v>
      </c>
      <c r="F12" s="20">
        <f>C12*E12</f>
        <v/>
      </c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22">
        <f>SUM(G12:AK12)</f>
        <v/>
      </c>
      <c r="AM12" s="23">
        <f>SUM(C12,AL12)</f>
        <v/>
      </c>
      <c r="AN12" s="24">
        <f>E12*AM12</f>
        <v/>
      </c>
    </row>
    <row r="13" ht="25.05" customHeight="1">
      <c r="A13" s="12" t="n">
        <v>4989</v>
      </c>
      <c r="B13" s="12" t="inlineStr">
        <is>
          <t>VINO GEN FINO OLOROSO GRANEL</t>
        </is>
      </c>
      <c r="C13" s="3" t="n">
        <v>0</v>
      </c>
      <c r="D13" s="7" t="inlineStr">
        <is>
          <t>LITRO</t>
        </is>
      </c>
      <c r="E13" s="8" t="n">
        <v>4.719861</v>
      </c>
      <c r="F13" s="20">
        <f>C13*E13</f>
        <v/>
      </c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22">
        <f>SUM(G13:AK13)</f>
        <v/>
      </c>
      <c r="AM13" s="23">
        <f>SUM(C13,AL13)</f>
        <v/>
      </c>
      <c r="AN13" s="24">
        <f>E13*AM13</f>
        <v/>
      </c>
    </row>
    <row r="14" ht="25.05" customHeight="1">
      <c r="A14" s="12" t="n">
        <v>7461</v>
      </c>
      <c r="B14" s="12" t="inlineStr">
        <is>
          <t>VINO GEN OLOROSO 50 CL</t>
        </is>
      </c>
      <c r="C14" s="3" t="n">
        <v>0</v>
      </c>
      <c r="D14" s="7" t="inlineStr">
        <is>
          <t>BOTELLA</t>
        </is>
      </c>
      <c r="E14" s="8" t="n">
        <v>2.998839</v>
      </c>
      <c r="F14" s="20">
        <f>C14*E14</f>
        <v/>
      </c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22">
        <f>SUM(G14:AK14)</f>
        <v/>
      </c>
      <c r="AM14" s="23">
        <f>SUM(C14,AL14)</f>
        <v/>
      </c>
      <c r="AN14" s="24">
        <f>E14*AM14</f>
        <v/>
      </c>
    </row>
    <row r="15" ht="25.05" customHeight="1">
      <c r="A15" s="12" t="n">
        <v>21629</v>
      </c>
      <c r="B15" s="12" t="inlineStr">
        <is>
          <t>CAFE MONODOSIS COMPOSTABLE DESCAFEINADO</t>
        </is>
      </c>
      <c r="C15" s="3" t="n">
        <v>0</v>
      </c>
      <c r="D15" s="7" t="inlineStr">
        <is>
          <t>UNIDAD</t>
        </is>
      </c>
      <c r="E15" s="8" t="n">
        <v>0.258432</v>
      </c>
      <c r="F15" s="20">
        <f>C15*E15</f>
        <v/>
      </c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22">
        <f>SUM(G15:AK15)</f>
        <v/>
      </c>
      <c r="AM15" s="23">
        <f>SUM(C15,AL15)</f>
        <v/>
      </c>
      <c r="AN15" s="24">
        <f>E15*AM15</f>
        <v/>
      </c>
    </row>
    <row r="16" ht="25.05" customHeight="1">
      <c r="A16" s="12" t="n">
        <v>21628</v>
      </c>
      <c r="B16" s="12" t="inlineStr">
        <is>
          <t>CAFE MONODOSIS COMPOSTABLE INTENSO</t>
        </is>
      </c>
      <c r="C16" s="3" t="n">
        <v>0</v>
      </c>
      <c r="D16" s="7" t="inlineStr">
        <is>
          <t>UNIDAD</t>
        </is>
      </c>
      <c r="E16" s="8" t="n">
        <v>0.259025</v>
      </c>
      <c r="F16" s="20">
        <f>C16*E16</f>
        <v/>
      </c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22">
        <f>SUM(G16:AK16)</f>
        <v/>
      </c>
      <c r="AM16" s="23">
        <f>SUM(C16,AL16)</f>
        <v/>
      </c>
      <c r="AN16" s="24">
        <f>E16*AM16</f>
        <v/>
      </c>
    </row>
    <row r="17" ht="25.05" customHeight="1">
      <c r="A17" s="12" t="n">
        <v>8983</v>
      </c>
      <c r="B17" s="12" t="inlineStr">
        <is>
          <t>CAVA CASTELL D'ORDAL BRUT 75 CL</t>
        </is>
      </c>
      <c r="C17" s="3" t="n">
        <v>0</v>
      </c>
      <c r="D17" s="7" t="inlineStr">
        <is>
          <t>BOTELLA</t>
        </is>
      </c>
      <c r="E17" s="8" t="n">
        <v>1.899995</v>
      </c>
      <c r="F17" s="20">
        <f>C17*E17</f>
        <v/>
      </c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22">
        <f>SUM(G17:AK17)</f>
        <v/>
      </c>
      <c r="AM17" s="23">
        <f>SUM(C17,AL17)</f>
        <v/>
      </c>
      <c r="AN17" s="24">
        <f>E17*AM17</f>
        <v/>
      </c>
    </row>
    <row r="18" ht="25.05" customHeight="1">
      <c r="A18" s="12" t="n">
        <v>8982</v>
      </c>
      <c r="B18" s="12" t="inlineStr">
        <is>
          <t>CAVA CASTELL D'ORDAL RDO SEMI 75 CL</t>
        </is>
      </c>
      <c r="C18" s="3" t="n">
        <v>0</v>
      </c>
      <c r="D18" s="7" t="inlineStr">
        <is>
          <t>BOTELLA</t>
        </is>
      </c>
      <c r="E18" s="8" t="n">
        <v>1.871467</v>
      </c>
      <c r="F18" s="20">
        <f>C18*E18</f>
        <v/>
      </c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22">
        <f>SUM(G18:AK18)</f>
        <v/>
      </c>
      <c r="AM18" s="23">
        <f>SUM(C18,AL18)</f>
        <v/>
      </c>
      <c r="AN18" s="24">
        <f>E18*AM18</f>
        <v/>
      </c>
    </row>
    <row r="19" ht="25.05" customHeight="1">
      <c r="A19" s="12" t="n">
        <v>11946</v>
      </c>
      <c r="B19" s="12" t="inlineStr">
        <is>
          <t>CAVA ELYSSIA GRAN CUVEE BRUT 75 CL</t>
        </is>
      </c>
      <c r="C19" s="3" t="n">
        <v>0</v>
      </c>
      <c r="D19" s="7" t="inlineStr">
        <is>
          <t>BOTELLA</t>
        </is>
      </c>
      <c r="E19" s="8" t="n">
        <v>5.541301</v>
      </c>
      <c r="F19" s="20">
        <f>C19*E19</f>
        <v/>
      </c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22">
        <f>SUM(G19:AK19)</f>
        <v/>
      </c>
      <c r="AM19" s="23">
        <f>SUM(C19,AL19)</f>
        <v/>
      </c>
      <c r="AN19" s="24">
        <f>E19*AM19</f>
        <v/>
      </c>
    </row>
    <row r="20" ht="25.05" customHeight="1">
      <c r="A20" s="12" t="n">
        <v>11986</v>
      </c>
      <c r="B20" s="12" t="inlineStr">
        <is>
          <t>CAVA ELYSSIA PINOT NOIR ROSE   75 CL</t>
        </is>
      </c>
      <c r="C20" s="3" t="n">
        <v>0</v>
      </c>
      <c r="D20" s="7" t="inlineStr">
        <is>
          <t>BOTELLA</t>
        </is>
      </c>
      <c r="E20" s="8" t="n">
        <v>5.549457</v>
      </c>
      <c r="F20" s="20">
        <f>C20*E20</f>
        <v/>
      </c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22">
        <f>SUM(G20:AK20)</f>
        <v/>
      </c>
      <c r="AM20" s="23">
        <f>SUM(C20,AL20)</f>
        <v/>
      </c>
      <c r="AN20" s="24">
        <f>E20*AM20</f>
        <v/>
      </c>
    </row>
    <row r="21" ht="25.05" customHeight="1">
      <c r="A21" s="12" t="n">
        <v>10121</v>
      </c>
      <c r="B21" s="12" t="inlineStr">
        <is>
          <t>CAVA PINKY S/ALCOHOL 75 CL (NIÑOS)</t>
        </is>
      </c>
      <c r="C21" s="3" t="n">
        <v>0</v>
      </c>
      <c r="D21" s="7" t="inlineStr">
        <is>
          <t>BOTELLA</t>
        </is>
      </c>
      <c r="E21" s="8" t="n">
        <v>4.279533</v>
      </c>
      <c r="F21" s="20">
        <f>C21*E21</f>
        <v/>
      </c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22">
        <f>SUM(G21:AK21)</f>
        <v/>
      </c>
      <c r="AM21" s="23">
        <f>SUM(C21,AL21)</f>
        <v/>
      </c>
      <c r="AN21" s="24">
        <f>E21*AM21</f>
        <v/>
      </c>
    </row>
    <row r="22" ht="25.05" customHeight="1">
      <c r="A22" s="12" t="n">
        <v>97</v>
      </c>
      <c r="B22" s="12" t="inlineStr">
        <is>
          <t>CHAMPAN MOET &amp; CHANDON 75 CL</t>
        </is>
      </c>
      <c r="C22" s="3" t="n">
        <v>0</v>
      </c>
      <c r="D22" s="7" t="inlineStr">
        <is>
          <t>BOTELLA</t>
        </is>
      </c>
      <c r="E22" s="8" t="n">
        <v>34.5</v>
      </c>
      <c r="F22" s="20">
        <f>C22*E22</f>
        <v/>
      </c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22">
        <f>SUM(G22:AK22)</f>
        <v/>
      </c>
      <c r="AM22" s="23">
        <f>SUM(C22,AL22)</f>
        <v/>
      </c>
      <c r="AN22" s="24">
        <f>E22*AM22</f>
        <v/>
      </c>
    </row>
    <row r="23" ht="25.05" customHeight="1">
      <c r="A23" s="12" t="n">
        <v>8992</v>
      </c>
      <c r="B23" s="12" t="inlineStr">
        <is>
          <t>CERVEZA BARRIL MAHOU CLASICA 30 LT</t>
        </is>
      </c>
      <c r="C23" s="3" t="n">
        <v>0</v>
      </c>
      <c r="D23" s="7" t="inlineStr">
        <is>
          <t>LITRO</t>
        </is>
      </c>
      <c r="E23" s="8" t="n">
        <v>0.502317</v>
      </c>
      <c r="F23" s="20">
        <f>C23*E23</f>
        <v/>
      </c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22">
        <f>SUM(G23:AK23)</f>
        <v/>
      </c>
      <c r="AM23" s="23">
        <f>SUM(C23,AL23)</f>
        <v/>
      </c>
      <c r="AN23" s="24">
        <f>E23*AM23</f>
        <v/>
      </c>
    </row>
    <row r="24" ht="25.05" customHeight="1">
      <c r="A24" s="12" t="n">
        <v>17627</v>
      </c>
      <c r="B24" s="12" t="inlineStr">
        <is>
          <t>CERVEZA SAN MIGUEL S/GLUTEN SR 33 CL</t>
        </is>
      </c>
      <c r="C24" s="3" t="n">
        <v>0</v>
      </c>
      <c r="D24" s="7" t="inlineStr">
        <is>
          <t>BOTELLA</t>
        </is>
      </c>
      <c r="E24" s="8" t="n">
        <v>0.754984</v>
      </c>
      <c r="F24" s="20">
        <f>C24*E24</f>
        <v/>
      </c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22">
        <f>SUM(G24:AK24)</f>
        <v/>
      </c>
      <c r="AM24" s="23">
        <f>SUM(C24,AL24)</f>
        <v/>
      </c>
      <c r="AN24" s="24">
        <f>E24*AM24</f>
        <v/>
      </c>
    </row>
    <row r="25" ht="25.05" customHeight="1">
      <c r="A25" s="12" t="n">
        <v>5796</v>
      </c>
      <c r="B25" s="12" t="inlineStr">
        <is>
          <t>CERVEZA SIN ALCOHOL S.M 0'0 33 CL</t>
        </is>
      </c>
      <c r="C25" s="3" t="n">
        <v>0</v>
      </c>
      <c r="D25" s="7" t="inlineStr">
        <is>
          <t>BOTELLA</t>
        </is>
      </c>
      <c r="E25" s="8" t="n">
        <v>0.327086</v>
      </c>
      <c r="F25" s="20">
        <f>C25*E25</f>
        <v/>
      </c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22">
        <f>SUM(G25:AK25)</f>
        <v/>
      </c>
      <c r="AM25" s="23">
        <f>SUM(C25,AL25)</f>
        <v/>
      </c>
      <c r="AN25" s="24">
        <f>E25*AM25</f>
        <v/>
      </c>
    </row>
    <row r="26" ht="25.05" customHeight="1">
      <c r="A26" s="12" t="n">
        <v>173</v>
      </c>
      <c r="B26" s="12" t="inlineStr">
        <is>
          <t>REFRESCO BIB COCA COLA</t>
        </is>
      </c>
      <c r="C26" s="3" t="n">
        <v>0</v>
      </c>
      <c r="D26" s="7" t="inlineStr">
        <is>
          <t>LITRO</t>
        </is>
      </c>
      <c r="E26" s="8" t="n">
        <v>7.021113</v>
      </c>
      <c r="F26" s="20">
        <f>C26*E26</f>
        <v/>
      </c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22">
        <f>SUM(G26:AK26)</f>
        <v/>
      </c>
      <c r="AM26" s="23">
        <f>SUM(C26,AL26)</f>
        <v/>
      </c>
      <c r="AN26" s="24">
        <f>E26*AM26</f>
        <v/>
      </c>
    </row>
    <row r="27" ht="25.05" customHeight="1">
      <c r="A27" s="12" t="n">
        <v>9155</v>
      </c>
      <c r="B27" s="12" t="inlineStr">
        <is>
          <t>REFRESCO BIB COCA COLA ZERO</t>
        </is>
      </c>
      <c r="C27" s="3" t="n">
        <v>0</v>
      </c>
      <c r="D27" s="7" t="inlineStr">
        <is>
          <t>LITRO</t>
        </is>
      </c>
      <c r="E27" s="8" t="n">
        <v>7.017727</v>
      </c>
      <c r="F27" s="20">
        <f>C27*E27</f>
        <v/>
      </c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22">
        <f>SUM(G27:AK27)</f>
        <v/>
      </c>
      <c r="AM27" s="23">
        <f>SUM(C27,AL27)</f>
        <v/>
      </c>
      <c r="AN27" s="24">
        <f>E27*AM27</f>
        <v/>
      </c>
    </row>
    <row r="28" ht="25.05" customHeight="1">
      <c r="A28" s="12" t="n">
        <v>21366</v>
      </c>
      <c r="B28" s="12" t="inlineStr">
        <is>
          <t>REFRESCO BIB FANTA LIMON ZERO</t>
        </is>
      </c>
      <c r="C28" s="3" t="n">
        <v>0</v>
      </c>
      <c r="D28" s="7" t="inlineStr">
        <is>
          <t>LITRO</t>
        </is>
      </c>
      <c r="E28" s="8" t="n">
        <v>5.971363</v>
      </c>
      <c r="F28" s="20">
        <f>C28*E28</f>
        <v/>
      </c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22">
        <f>SUM(G28:AK28)</f>
        <v/>
      </c>
      <c r="AM28" s="23">
        <f>SUM(C28,AL28)</f>
        <v/>
      </c>
      <c r="AN28" s="24">
        <f>E28*AM28</f>
        <v/>
      </c>
    </row>
    <row r="29" ht="25.05" customHeight="1">
      <c r="A29" s="12" t="n">
        <v>21367</v>
      </c>
      <c r="B29" s="12" t="inlineStr">
        <is>
          <t>REFRESCO BIB FANTA NARANJA ZERO</t>
        </is>
      </c>
      <c r="C29" s="3" t="n">
        <v>0</v>
      </c>
      <c r="D29" s="7" t="inlineStr">
        <is>
          <t>LITRO</t>
        </is>
      </c>
      <c r="E29" s="8" t="n">
        <v>5.970082</v>
      </c>
      <c r="F29" s="20">
        <f>C29*E29</f>
        <v/>
      </c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22">
        <f>SUM(G29:AK29)</f>
        <v/>
      </c>
      <c r="AM29" s="23">
        <f>SUM(C29,AL29)</f>
        <v/>
      </c>
      <c r="AN29" s="24">
        <f>E29*AM29</f>
        <v/>
      </c>
    </row>
    <row r="30" ht="25.05" customHeight="1">
      <c r="A30" s="12" t="n">
        <v>26662</v>
      </c>
      <c r="B30" s="12" t="inlineStr">
        <is>
          <t>REFRESCO BIB SPRITE ZERO</t>
        </is>
      </c>
      <c r="C30" s="3" t="n">
        <v>0</v>
      </c>
      <c r="D30" s="7" t="inlineStr">
        <is>
          <t>LITRO</t>
        </is>
      </c>
      <c r="E30" s="8" t="n">
        <v>7.064839</v>
      </c>
      <c r="F30" s="20">
        <f>C30*E30</f>
        <v/>
      </c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22">
        <f>SUM(G30:AK30)</f>
        <v/>
      </c>
      <c r="AM30" s="23">
        <f>SUM(C30,AL30)</f>
        <v/>
      </c>
      <c r="AN30" s="24">
        <f>E30*AM30</f>
        <v/>
      </c>
    </row>
    <row r="31" ht="25.05" customHeight="1">
      <c r="A31" s="12" t="n">
        <v>27731</v>
      </c>
      <c r="B31" s="12" t="inlineStr">
        <is>
          <t>REFRESCO BIB FUZE TEA LIMON S/AZUCAR</t>
        </is>
      </c>
      <c r="C31" s="3" t="n">
        <v>0</v>
      </c>
      <c r="D31" s="7" t="inlineStr">
        <is>
          <t>LITRO</t>
        </is>
      </c>
      <c r="E31" s="8" t="n">
        <v>9.010847</v>
      </c>
      <c r="F31" s="20">
        <f>C31*E31</f>
        <v/>
      </c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22">
        <f>SUM(G31:AK31)</f>
        <v/>
      </c>
      <c r="AM31" s="23">
        <f>SUM(C31,AL31)</f>
        <v/>
      </c>
      <c r="AN31" s="24">
        <f>E31*AM31</f>
        <v/>
      </c>
    </row>
    <row r="32" ht="25.05" customHeight="1">
      <c r="A32" s="12" t="n">
        <v>24707</v>
      </c>
      <c r="B32" s="12" t="inlineStr">
        <is>
          <t>VINO BCO BARBADILLO MOSCATO FRIZZANTE 75 CL</t>
        </is>
      </c>
      <c r="C32" s="3" t="n">
        <v>0</v>
      </c>
      <c r="D32" s="7" t="inlineStr">
        <is>
          <t>BOTELLA</t>
        </is>
      </c>
      <c r="E32" s="8" t="n">
        <v>4.737802</v>
      </c>
      <c r="F32" s="20">
        <f>C32*E32</f>
        <v/>
      </c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22">
        <f>SUM(G32:AK32)</f>
        <v/>
      </c>
      <c r="AM32" s="23">
        <f>SUM(C32,AL32)</f>
        <v/>
      </c>
      <c r="AN32" s="24">
        <f>E32*AM32</f>
        <v/>
      </c>
    </row>
    <row r="33" ht="25.05" customHeight="1">
      <c r="A33" s="12" t="n">
        <v>24622</v>
      </c>
      <c r="B33" s="12" t="inlineStr">
        <is>
          <t>VINO BCO BICICLETAS Y PECES SAUVIGNON BLANC ECO 75 CL</t>
        </is>
      </c>
      <c r="C33" s="3" t="n">
        <v>0</v>
      </c>
      <c r="D33" s="7" t="inlineStr">
        <is>
          <t>BOTELLA</t>
        </is>
      </c>
      <c r="E33" s="8" t="n">
        <v>4.89</v>
      </c>
      <c r="F33" s="20">
        <f>C33*E33</f>
        <v/>
      </c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22">
        <f>SUM(G33:AK33)</f>
        <v/>
      </c>
      <c r="AM33" s="23">
        <f>SUM(C33,AL33)</f>
        <v/>
      </c>
      <c r="AN33" s="24">
        <f>E33*AM33</f>
        <v/>
      </c>
    </row>
    <row r="34" ht="25.05" customHeight="1">
      <c r="A34" s="12" t="n">
        <v>15593</v>
      </c>
      <c r="B34" s="12" t="inlineStr">
        <is>
          <t>VINO BCO CARPATHIA 75 CL</t>
        </is>
      </c>
      <c r="C34" s="3" t="n">
        <v>0</v>
      </c>
      <c r="D34" s="7" t="inlineStr">
        <is>
          <t>BOTELLA</t>
        </is>
      </c>
      <c r="E34" s="8" t="n">
        <v>2.054</v>
      </c>
      <c r="F34" s="20">
        <f>C34*E34</f>
        <v/>
      </c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22">
        <f>SUM(G34:AK34)</f>
        <v/>
      </c>
      <c r="AM34" s="23">
        <f>SUM(C34,AL34)</f>
        <v/>
      </c>
      <c r="AN34" s="24">
        <f>E34*AM34</f>
        <v/>
      </c>
    </row>
    <row r="35" ht="25.05" customHeight="1">
      <c r="A35" s="12" t="n">
        <v>1225</v>
      </c>
      <c r="B35" s="12" t="inlineStr">
        <is>
          <t>VINO BCO CASTILLO SAN DIEGO 75 CL</t>
        </is>
      </c>
      <c r="C35" s="3" t="n">
        <v>0</v>
      </c>
      <c r="D35" s="7" t="inlineStr">
        <is>
          <t>BOTELLA</t>
        </is>
      </c>
      <c r="E35" s="8" t="n">
        <v>2.811999</v>
      </c>
      <c r="F35" s="20">
        <f>C35*E35</f>
        <v/>
      </c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22">
        <f>SUM(G35:AK35)</f>
        <v/>
      </c>
      <c r="AM35" s="23">
        <f>SUM(C35,AL35)</f>
        <v/>
      </c>
      <c r="AN35" s="24">
        <f>E35*AM35</f>
        <v/>
      </c>
    </row>
    <row r="36" ht="25.05" customHeight="1">
      <c r="A36" s="12" t="n">
        <v>154</v>
      </c>
      <c r="B36" s="12" t="inlineStr">
        <is>
          <t>VINO BCO CONDE CARALT SEMI 75 CL</t>
        </is>
      </c>
      <c r="C36" s="3" t="n">
        <v>0</v>
      </c>
      <c r="D36" s="7" t="inlineStr">
        <is>
          <t>BOTELLA</t>
        </is>
      </c>
      <c r="E36" s="8" t="n">
        <v>2.157398</v>
      </c>
      <c r="F36" s="20">
        <f>C36*E36</f>
        <v/>
      </c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22">
        <f>SUM(G36:AK36)</f>
        <v/>
      </c>
      <c r="AM36" s="23">
        <f>SUM(C36,AL36)</f>
        <v/>
      </c>
      <c r="AN36" s="24">
        <f>E36*AM36</f>
        <v/>
      </c>
    </row>
    <row r="37" ht="25.05" customHeight="1">
      <c r="A37" s="12" t="n">
        <v>16134</v>
      </c>
      <c r="B37" s="12" t="inlineStr">
        <is>
          <t>VINO BCO FILLABOA 75 CL</t>
        </is>
      </c>
      <c r="C37" s="3" t="n">
        <v>0</v>
      </c>
      <c r="D37" s="7" t="inlineStr">
        <is>
          <t>BOTELLA</t>
        </is>
      </c>
      <c r="E37" s="8" t="n">
        <v>7.14</v>
      </c>
      <c r="F37" s="20">
        <f>C37*E37</f>
        <v/>
      </c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22">
        <f>SUM(G37:AK37)</f>
        <v/>
      </c>
      <c r="AM37" s="23">
        <f>SUM(C37,AL37)</f>
        <v/>
      </c>
      <c r="AN37" s="24">
        <f>E37*AM37</f>
        <v/>
      </c>
    </row>
    <row r="38" ht="25.05" customHeight="1">
      <c r="A38" s="12" t="n">
        <v>4278</v>
      </c>
      <c r="B38" s="12" t="inlineStr">
        <is>
          <t>VINO BCO GRAN FEUDO HOYA DE LOS LOBOS CHARDONNAY 75 CL</t>
        </is>
      </c>
      <c r="C38" s="3" t="n">
        <v>0</v>
      </c>
      <c r="D38" s="7" t="inlineStr">
        <is>
          <t>BOTELLA</t>
        </is>
      </c>
      <c r="E38" s="8" t="n">
        <v>4.342998</v>
      </c>
      <c r="F38" s="20">
        <f>C38*E38</f>
        <v/>
      </c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22">
        <f>SUM(G38:AK38)</f>
        <v/>
      </c>
      <c r="AM38" s="23">
        <f>SUM(C38,AL38)</f>
        <v/>
      </c>
      <c r="AN38" s="24">
        <f>E38*AM38</f>
        <v/>
      </c>
    </row>
    <row r="39" ht="25.05" customHeight="1">
      <c r="A39" s="12" t="n">
        <v>3107</v>
      </c>
      <c r="B39" s="12" t="inlineStr">
        <is>
          <t>VINO BCO IRACHE 75 CL</t>
        </is>
      </c>
      <c r="C39" s="3" t="n">
        <v>0</v>
      </c>
      <c r="D39" s="7" t="inlineStr">
        <is>
          <t>BOTELLA</t>
        </is>
      </c>
      <c r="E39" s="8" t="n">
        <v>2.311867</v>
      </c>
      <c r="F39" s="20">
        <f>C39*E39</f>
        <v/>
      </c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22">
        <f>SUM(G39:AK39)</f>
        <v/>
      </c>
      <c r="AM39" s="23">
        <f>SUM(C39,AL39)</f>
        <v/>
      </c>
      <c r="AN39" s="24">
        <f>E39*AM39</f>
        <v/>
      </c>
    </row>
    <row r="40" ht="25.05" customHeight="1">
      <c r="A40" s="12" t="n">
        <v>30901</v>
      </c>
      <c r="B40" s="12" t="inlineStr">
        <is>
          <t>VINO BCO JOSE PARIENTE VERDEJO 75 CL</t>
        </is>
      </c>
      <c r="C40" s="3" t="n">
        <v>0</v>
      </c>
      <c r="D40" s="7" t="inlineStr">
        <is>
          <t>BOTELLA</t>
        </is>
      </c>
      <c r="E40" s="8" t="n">
        <v>7.3</v>
      </c>
      <c r="F40" s="20">
        <f>C40*E40</f>
        <v/>
      </c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22">
        <f>SUM(G40:AK40)</f>
        <v/>
      </c>
      <c r="AM40" s="23">
        <f>SUM(C40,AL40)</f>
        <v/>
      </c>
      <c r="AN40" s="24">
        <f>E40*AM40</f>
        <v/>
      </c>
    </row>
    <row r="41" ht="25.05" customHeight="1">
      <c r="A41" s="12" t="n">
        <v>27499</v>
      </c>
      <c r="B41" s="12" t="inlineStr">
        <is>
          <t>VINO BCO MARQUES DEL ATRIO 2 CEPAS 75 CL</t>
        </is>
      </c>
      <c r="C41" s="3" t="n">
        <v>0</v>
      </c>
      <c r="D41" s="7" t="inlineStr">
        <is>
          <t>BOTELLA</t>
        </is>
      </c>
      <c r="E41" s="8" t="n">
        <v>11.9</v>
      </c>
      <c r="F41" s="20">
        <f>C41*E41</f>
        <v/>
      </c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22">
        <f>SUM(G41:AK41)</f>
        <v/>
      </c>
      <c r="AM41" s="23">
        <f>SUM(C41,AL41)</f>
        <v/>
      </c>
      <c r="AN41" s="24">
        <f>E41*AM41</f>
        <v/>
      </c>
    </row>
    <row r="42" ht="25.05" customHeight="1">
      <c r="A42" s="12" t="n">
        <v>67</v>
      </c>
      <c r="B42" s="12" t="inlineStr">
        <is>
          <t>VINO BCO MONOPOLE 75 CL</t>
        </is>
      </c>
      <c r="C42" s="3" t="n">
        <v>0</v>
      </c>
      <c r="D42" s="7" t="inlineStr">
        <is>
          <t>BOTELLA</t>
        </is>
      </c>
      <c r="E42" s="8" t="n">
        <v>4.536926</v>
      </c>
      <c r="F42" s="20">
        <f>C42*E42</f>
        <v/>
      </c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22">
        <f>SUM(G42:AK42)</f>
        <v/>
      </c>
      <c r="AM42" s="23">
        <f>SUM(C42,AL42)</f>
        <v/>
      </c>
      <c r="AN42" s="24">
        <f>E42*AM42</f>
        <v/>
      </c>
    </row>
    <row r="43" ht="25.05" customHeight="1">
      <c r="A43" s="12" t="n">
        <v>24630</v>
      </c>
      <c r="B43" s="12" t="inlineStr">
        <is>
          <t>VINO BCO NIVARIUS N 75 CL</t>
        </is>
      </c>
      <c r="C43" s="3" t="n">
        <v>0</v>
      </c>
      <c r="D43" s="7" t="inlineStr">
        <is>
          <t>BOTELLA</t>
        </is>
      </c>
      <c r="E43" s="8" t="n">
        <v>5.08</v>
      </c>
      <c r="F43" s="20">
        <f>C43*E43</f>
        <v/>
      </c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22">
        <f>SUM(G43:AK43)</f>
        <v/>
      </c>
      <c r="AM43" s="23">
        <f>SUM(C43,AL43)</f>
        <v/>
      </c>
      <c r="AN43" s="24">
        <f>E43*AM43</f>
        <v/>
      </c>
    </row>
    <row r="44" ht="25.05" customHeight="1">
      <c r="A44" s="12" t="n">
        <v>934021</v>
      </c>
      <c r="B44" s="12" t="inlineStr">
        <is>
          <t>VINO BCO NUBORI VERDEJO 75 CL</t>
        </is>
      </c>
      <c r="C44" s="3" t="n">
        <v>0</v>
      </c>
      <c r="D44" s="7" t="inlineStr">
        <is>
          <t>BOTELLA</t>
        </is>
      </c>
      <c r="E44" s="8" t="n">
        <v>4.54</v>
      </c>
      <c r="F44" s="20">
        <f>C44*E44</f>
        <v/>
      </c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22">
        <f>SUM(G44:AK44)</f>
        <v/>
      </c>
      <c r="AM44" s="23">
        <f>SUM(C44,AL44)</f>
        <v/>
      </c>
      <c r="AN44" s="24">
        <f>E44*AM44</f>
        <v/>
      </c>
    </row>
    <row r="45" ht="25.05" customHeight="1">
      <c r="A45" s="12" t="n">
        <v>961052</v>
      </c>
      <c r="B45" s="12" t="inlineStr">
        <is>
          <t>VINO BCO RAMON BILBAO VERDEJO LIAS 75 CL</t>
        </is>
      </c>
      <c r="C45" s="3" t="n">
        <v>0</v>
      </c>
      <c r="D45" s="7" t="inlineStr">
        <is>
          <t>BOTELLA</t>
        </is>
      </c>
      <c r="E45" s="8" t="n">
        <v>10.28</v>
      </c>
      <c r="F45" s="20">
        <f>C45*E45</f>
        <v/>
      </c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22">
        <f>SUM(G45:AK45)</f>
        <v/>
      </c>
      <c r="AM45" s="23">
        <f>SUM(C45,AL45)</f>
        <v/>
      </c>
      <c r="AN45" s="24">
        <f>E45*AM45</f>
        <v/>
      </c>
    </row>
    <row r="46" ht="25.05" customHeight="1">
      <c r="A46" s="12" t="n">
        <v>6903</v>
      </c>
      <c r="B46" s="12" t="inlineStr">
        <is>
          <t>VINO BCO RENE BARBIER MEDITERRANEAN 75 CL</t>
        </is>
      </c>
      <c r="C46" s="3" t="n">
        <v>0</v>
      </c>
      <c r="D46" s="7" t="inlineStr">
        <is>
          <t>BOTELLA</t>
        </is>
      </c>
      <c r="E46" s="8" t="n">
        <v>2.179714</v>
      </c>
      <c r="F46" s="20">
        <f>C46*E46</f>
        <v/>
      </c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22">
        <f>SUM(G46:AK46)</f>
        <v/>
      </c>
      <c r="AM46" s="23">
        <f>SUM(C46,AL46)</f>
        <v/>
      </c>
      <c r="AN46" s="24">
        <f>E46*AM46</f>
        <v/>
      </c>
    </row>
    <row r="47" ht="25.05" customHeight="1">
      <c r="A47" s="12" t="n">
        <v>14990</v>
      </c>
      <c r="B47" s="12" t="inlineStr">
        <is>
          <t>VINO BCO SECO PARAMUS 75 CL</t>
        </is>
      </c>
      <c r="C47" s="3" t="n">
        <v>0</v>
      </c>
      <c r="D47" s="7" t="inlineStr">
        <is>
          <t>BOTELLA</t>
        </is>
      </c>
      <c r="E47" s="8" t="n">
        <v>1.849922</v>
      </c>
      <c r="F47" s="20">
        <f>C47*E47</f>
        <v/>
      </c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22">
        <f>SUM(G47:AK47)</f>
        <v/>
      </c>
      <c r="AM47" s="23">
        <f>SUM(C47,AL47)</f>
        <v/>
      </c>
      <c r="AN47" s="24">
        <f>E47*AM47</f>
        <v/>
      </c>
    </row>
    <row r="48" ht="25.05" customHeight="1">
      <c r="A48" s="12" t="n">
        <v>23809</v>
      </c>
      <c r="B48" s="12" t="inlineStr">
        <is>
          <t>VINO BCO SEMI DULCE MAESTRANTE 75 CL</t>
        </is>
      </c>
      <c r="C48" s="3" t="n">
        <v>0</v>
      </c>
      <c r="D48" s="7" t="inlineStr">
        <is>
          <t>BOTELLA</t>
        </is>
      </c>
      <c r="E48" s="8" t="n">
        <v>2.811999</v>
      </c>
      <c r="F48" s="20">
        <f>C48*E48</f>
        <v/>
      </c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  <c r="AL48" s="22">
        <f>SUM(G48:AK48)</f>
        <v/>
      </c>
      <c r="AM48" s="23">
        <f>SUM(C48,AL48)</f>
        <v/>
      </c>
      <c r="AN48" s="24">
        <f>E48*AM48</f>
        <v/>
      </c>
    </row>
    <row r="49" ht="25.05" customHeight="1">
      <c r="A49" s="12" t="n">
        <v>162</v>
      </c>
      <c r="B49" s="12" t="inlineStr">
        <is>
          <t>VINO RDO AÑARES 75 CL</t>
        </is>
      </c>
      <c r="C49" s="3" t="n">
        <v>0</v>
      </c>
      <c r="D49" s="7" t="inlineStr">
        <is>
          <t>BOTELLA</t>
        </is>
      </c>
      <c r="E49" s="8" t="n">
        <v>3.67</v>
      </c>
      <c r="F49" s="20">
        <f>C49*E49</f>
        <v/>
      </c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22">
        <f>SUM(G49:AK49)</f>
        <v/>
      </c>
      <c r="AM49" s="23">
        <f>SUM(C49,AL49)</f>
        <v/>
      </c>
      <c r="AN49" s="24">
        <f>E49*AM49</f>
        <v/>
      </c>
    </row>
    <row r="50" ht="25.05" customHeight="1">
      <c r="A50" s="12" t="n">
        <v>24364</v>
      </c>
      <c r="B50" s="12" t="inlineStr">
        <is>
          <t>VINO RDO BARBADILLO 75 CL</t>
        </is>
      </c>
      <c r="C50" s="3" t="n">
        <v>0</v>
      </c>
      <c r="D50" s="7" t="inlineStr">
        <is>
          <t>BOTELLA</t>
        </is>
      </c>
      <c r="E50" s="8" t="n">
        <v>3.028</v>
      </c>
      <c r="F50" s="20">
        <f>C50*E50</f>
        <v/>
      </c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  <c r="AL50" s="22">
        <f>SUM(G50:AK50)</f>
        <v/>
      </c>
      <c r="AM50" s="23">
        <f>SUM(C50,AL50)</f>
        <v/>
      </c>
      <c r="AN50" s="24">
        <f>E50*AM50</f>
        <v/>
      </c>
    </row>
    <row r="51" ht="25.05" customHeight="1">
      <c r="A51" s="12" t="n">
        <v>15560</v>
      </c>
      <c r="B51" s="12" t="inlineStr">
        <is>
          <t>VINO RDO BICICLETAS Y PECES 75 CL</t>
        </is>
      </c>
      <c r="C51" s="3" t="n">
        <v>0</v>
      </c>
      <c r="D51" s="7" t="inlineStr">
        <is>
          <t>BOTELLA</t>
        </is>
      </c>
      <c r="E51" s="8" t="n">
        <v>4.52</v>
      </c>
      <c r="F51" s="20">
        <f>C51*E51</f>
        <v/>
      </c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  <c r="AL51" s="22">
        <f>SUM(G51:AK51)</f>
        <v/>
      </c>
      <c r="AM51" s="23">
        <f>SUM(C51,AL51)</f>
        <v/>
      </c>
      <c r="AN51" s="24">
        <f>E51*AM51</f>
        <v/>
      </c>
    </row>
    <row r="52" ht="25.05" customHeight="1">
      <c r="A52" s="12" t="n">
        <v>15594</v>
      </c>
      <c r="B52" s="12" t="inlineStr">
        <is>
          <t>VINO RDO CARPATHIA 75 CL</t>
        </is>
      </c>
      <c r="C52" s="3" t="n">
        <v>0</v>
      </c>
      <c r="D52" s="7" t="inlineStr">
        <is>
          <t>BOTELLA</t>
        </is>
      </c>
      <c r="E52" s="8" t="n">
        <v>2.054</v>
      </c>
      <c r="F52" s="20">
        <f>C52*E52</f>
        <v/>
      </c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n"/>
      <c r="AL52" s="22">
        <f>SUM(G52:AK52)</f>
        <v/>
      </c>
      <c r="AM52" s="23">
        <f>SUM(C52,AL52)</f>
        <v/>
      </c>
      <c r="AN52" s="24">
        <f>E52*AM52</f>
        <v/>
      </c>
    </row>
    <row r="53" ht="25.05" customHeight="1">
      <c r="A53" s="12" t="n">
        <v>4279</v>
      </c>
      <c r="B53" s="12" t="inlineStr">
        <is>
          <t>VINO RDO GRAN FEUDO 75 CL</t>
        </is>
      </c>
      <c r="C53" s="3" t="n">
        <v>0</v>
      </c>
      <c r="D53" s="7" t="inlineStr">
        <is>
          <t>BOTELLA</t>
        </is>
      </c>
      <c r="E53" s="8" t="n">
        <v>3.194566</v>
      </c>
      <c r="F53" s="20">
        <f>C53*E53</f>
        <v/>
      </c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22">
        <f>SUM(G53:AK53)</f>
        <v/>
      </c>
      <c r="AM53" s="23">
        <f>SUM(C53,AL53)</f>
        <v/>
      </c>
      <c r="AN53" s="24">
        <f>E53*AM53</f>
        <v/>
      </c>
    </row>
    <row r="54" ht="25.05" customHeight="1">
      <c r="A54" s="12" t="n">
        <v>3106</v>
      </c>
      <c r="B54" s="12" t="inlineStr">
        <is>
          <t>VINO RDO IRACHE 75 CL</t>
        </is>
      </c>
      <c r="C54" s="3" t="n">
        <v>0</v>
      </c>
      <c r="D54" s="7" t="inlineStr">
        <is>
          <t>BOTELLA</t>
        </is>
      </c>
      <c r="E54" s="8" t="n">
        <v>2.301123</v>
      </c>
      <c r="F54" s="20">
        <f>C54*E54</f>
        <v/>
      </c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  <c r="AL54" s="22">
        <f>SUM(G54:AK54)</f>
        <v/>
      </c>
      <c r="AM54" s="23">
        <f>SUM(C54,AL54)</f>
        <v/>
      </c>
      <c r="AN54" s="24">
        <f>E54*AM54</f>
        <v/>
      </c>
    </row>
    <row r="55" ht="25.05" customHeight="1">
      <c r="A55" s="12" t="n">
        <v>24632</v>
      </c>
      <c r="B55" s="12" t="inlineStr">
        <is>
          <t>VINO RDO L'ESCARELLE PALMA ECOLOGICO 75 CL</t>
        </is>
      </c>
      <c r="C55" s="3" t="n">
        <v>0</v>
      </c>
      <c r="D55" s="7" t="inlineStr">
        <is>
          <t>BOTELLA</t>
        </is>
      </c>
      <c r="E55" s="8" t="n">
        <v>6.11</v>
      </c>
      <c r="F55" s="20">
        <f>C55*E55</f>
        <v/>
      </c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  <c r="AL55" s="22">
        <f>SUM(G55:AK55)</f>
        <v/>
      </c>
      <c r="AM55" s="23">
        <f>SUM(C55,AL55)</f>
        <v/>
      </c>
      <c r="AN55" s="24">
        <f>E55*AM55</f>
        <v/>
      </c>
    </row>
    <row r="56" ht="25.05" customHeight="1">
      <c r="A56" s="12" t="n">
        <v>18003</v>
      </c>
      <c r="B56" s="12" t="inlineStr">
        <is>
          <t>VINO RDO LAS FINCAS 75 CL</t>
        </is>
      </c>
      <c r="C56" s="3" t="n">
        <v>0</v>
      </c>
      <c r="D56" s="7" t="inlineStr">
        <is>
          <t>BOTELLA</t>
        </is>
      </c>
      <c r="E56" s="8" t="n">
        <v>7.365</v>
      </c>
      <c r="F56" s="20">
        <f>C56*E56</f>
        <v/>
      </c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22">
        <f>SUM(G56:AK56)</f>
        <v/>
      </c>
      <c r="AM56" s="23">
        <f>SUM(C56,AL56)</f>
        <v/>
      </c>
      <c r="AN56" s="24">
        <f>E56*AM56</f>
        <v/>
      </c>
    </row>
    <row r="57" ht="25.05" customHeight="1">
      <c r="A57" s="12" t="n">
        <v>14989</v>
      </c>
      <c r="B57" s="12" t="inlineStr">
        <is>
          <t>VINO RDO PARAMUS 75 CL</t>
        </is>
      </c>
      <c r="C57" s="3" t="n">
        <v>0</v>
      </c>
      <c r="D57" s="7" t="inlineStr">
        <is>
          <t>BOTELLA</t>
        </is>
      </c>
      <c r="E57" s="8" t="n">
        <v>1.848992</v>
      </c>
      <c r="F57" s="20">
        <f>C57*E57</f>
        <v/>
      </c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22">
        <f>SUM(G57:AK57)</f>
        <v/>
      </c>
      <c r="AM57" s="23">
        <f>SUM(C57,AL57)</f>
        <v/>
      </c>
      <c r="AN57" s="24">
        <f>E57*AM57</f>
        <v/>
      </c>
    </row>
    <row r="58" ht="25.05" customHeight="1">
      <c r="A58" s="12" t="n">
        <v>15888</v>
      </c>
      <c r="B58" s="12" t="inlineStr">
        <is>
          <t>VINO RDO RAMON BILBAO 75 CL</t>
        </is>
      </c>
      <c r="C58" s="3" t="n">
        <v>0</v>
      </c>
      <c r="D58" s="7" t="inlineStr">
        <is>
          <t>BOTELLA</t>
        </is>
      </c>
      <c r="E58" s="8" t="n">
        <v>5.1</v>
      </c>
      <c r="F58" s="20">
        <f>C58*E58</f>
        <v/>
      </c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  <c r="AL58" s="22">
        <f>SUM(G58:AK58)</f>
        <v/>
      </c>
      <c r="AM58" s="23">
        <f>SUM(C58,AL58)</f>
        <v/>
      </c>
      <c r="AN58" s="24">
        <f>E58*AM58</f>
        <v/>
      </c>
    </row>
    <row r="59" ht="25.05" customHeight="1">
      <c r="A59" s="12" t="n">
        <v>15595</v>
      </c>
      <c r="B59" s="12" t="inlineStr">
        <is>
          <t>VINO TTO CARPATHIA 75 CL</t>
        </is>
      </c>
      <c r="C59" s="3" t="n">
        <v>0</v>
      </c>
      <c r="D59" s="7" t="inlineStr">
        <is>
          <t>BOTELLA</t>
        </is>
      </c>
      <c r="E59" s="8" t="n">
        <v>2.054</v>
      </c>
      <c r="F59" s="20">
        <f>C59*E59</f>
        <v/>
      </c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  <c r="AL59" s="22">
        <f>SUM(G59:AK59)</f>
        <v/>
      </c>
      <c r="AM59" s="23">
        <f>SUM(C59,AL59)</f>
        <v/>
      </c>
      <c r="AN59" s="24">
        <f>E59*AM59</f>
        <v/>
      </c>
    </row>
    <row r="60" ht="25.05" customHeight="1">
      <c r="A60" s="12" t="n">
        <v>14505</v>
      </c>
      <c r="B60" s="12" t="inlineStr">
        <is>
          <t>VINO TTO CELESTE ROBLE 75 CL</t>
        </is>
      </c>
      <c r="C60" s="3" t="n">
        <v>0</v>
      </c>
      <c r="D60" s="7" t="inlineStr">
        <is>
          <t>BOTELLA</t>
        </is>
      </c>
      <c r="E60" s="8" t="n">
        <v>4.75</v>
      </c>
      <c r="F60" s="20">
        <f>C60*E60</f>
        <v/>
      </c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n"/>
      <c r="AL60" s="22">
        <f>SUM(G60:AK60)</f>
        <v/>
      </c>
      <c r="AM60" s="23">
        <f>SUM(C60,AL60)</f>
        <v/>
      </c>
      <c r="AN60" s="24">
        <f>E60*AM60</f>
        <v/>
      </c>
    </row>
    <row r="61" ht="25.05" customHeight="1">
      <c r="A61" s="12" t="n">
        <v>23914</v>
      </c>
      <c r="B61" s="12" t="inlineStr">
        <is>
          <t>VINO TTO DOMINIO BASCONCILLOS FINCA DE ALTURA 75 CL</t>
        </is>
      </c>
      <c r="C61" s="3" t="n">
        <v>0</v>
      </c>
      <c r="D61" s="7" t="inlineStr">
        <is>
          <t>BOTELLA</t>
        </is>
      </c>
      <c r="E61" s="8" t="n">
        <v>7.9</v>
      </c>
      <c r="F61" s="20">
        <f>C61*E61</f>
        <v/>
      </c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9" t="n"/>
      <c r="AI61" s="19" t="n"/>
      <c r="AJ61" s="19" t="n"/>
      <c r="AK61" s="19" t="n"/>
      <c r="AL61" s="22">
        <f>SUM(G61:AK61)</f>
        <v/>
      </c>
      <c r="AM61" s="23">
        <f>SUM(C61,AL61)</f>
        <v/>
      </c>
      <c r="AN61" s="24">
        <f>E61*AM61</f>
        <v/>
      </c>
    </row>
    <row r="62" ht="25.05" customHeight="1">
      <c r="A62" s="12" t="n">
        <v>4280</v>
      </c>
      <c r="B62" s="12" t="inlineStr">
        <is>
          <t>VINO TTO GRAN FEUDO HOYA DE LOS LOBOS CRI 75 CL</t>
        </is>
      </c>
      <c r="C62" s="3" t="n">
        <v>0</v>
      </c>
      <c r="D62" s="7" t="inlineStr">
        <is>
          <t>BOTELLA</t>
        </is>
      </c>
      <c r="E62" s="8" t="n">
        <v>3.904579</v>
      </c>
      <c r="F62" s="20">
        <f>C62*E62</f>
        <v/>
      </c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22">
        <f>SUM(G62:AK62)</f>
        <v/>
      </c>
      <c r="AM62" s="23">
        <f>SUM(C62,AL62)</f>
        <v/>
      </c>
      <c r="AN62" s="24">
        <f>E62*AM62</f>
        <v/>
      </c>
    </row>
    <row r="63" ht="25.05" customHeight="1">
      <c r="A63" s="12" t="n">
        <v>15561</v>
      </c>
      <c r="B63" s="12" t="inlineStr">
        <is>
          <t>VINO TTO HONORO VERA 75 CL</t>
        </is>
      </c>
      <c r="C63" s="3" t="n">
        <v>0</v>
      </c>
      <c r="D63" s="7" t="inlineStr">
        <is>
          <t>BOTELLA</t>
        </is>
      </c>
      <c r="E63" s="8" t="n">
        <v>4.009112</v>
      </c>
      <c r="F63" s="20">
        <f>C63*E63</f>
        <v/>
      </c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22">
        <f>SUM(G63:AK63)</f>
        <v/>
      </c>
      <c r="AM63" s="23">
        <f>SUM(C63,AL63)</f>
        <v/>
      </c>
      <c r="AN63" s="24">
        <f>E63*AM63</f>
        <v/>
      </c>
    </row>
    <row r="64" ht="25.05" customHeight="1">
      <c r="A64" s="12" t="n">
        <v>3105</v>
      </c>
      <c r="B64" s="12" t="inlineStr">
        <is>
          <t>VINO TTO IRACHE 75 CL</t>
        </is>
      </c>
      <c r="C64" s="3" t="n">
        <v>0</v>
      </c>
      <c r="D64" s="7" t="inlineStr">
        <is>
          <t>BOTELLA</t>
        </is>
      </c>
      <c r="E64" s="8" t="n">
        <v>2.306432</v>
      </c>
      <c r="F64" s="20">
        <f>C64*E64</f>
        <v/>
      </c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22">
        <f>SUM(G64:AK64)</f>
        <v/>
      </c>
      <c r="AM64" s="23">
        <f>SUM(C64,AL64)</f>
        <v/>
      </c>
      <c r="AN64" s="24">
        <f>E64*AM64</f>
        <v/>
      </c>
    </row>
    <row r="65" ht="25.05" customHeight="1">
      <c r="A65" s="12" t="n">
        <v>28869</v>
      </c>
      <c r="B65" s="12" t="inlineStr">
        <is>
          <t>VINO TTO MALPASTOR CRIANZA 75 CL</t>
        </is>
      </c>
      <c r="C65" s="3" t="n">
        <v>0</v>
      </c>
      <c r="D65" s="7" t="inlineStr">
        <is>
          <t>BOTELLA</t>
        </is>
      </c>
      <c r="E65" s="8" t="n">
        <v>4.75</v>
      </c>
      <c r="F65" s="20">
        <f>C65*E65</f>
        <v/>
      </c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22">
        <f>SUM(G65:AK65)</f>
        <v/>
      </c>
      <c r="AM65" s="23">
        <f>SUM(C65,AL65)</f>
        <v/>
      </c>
      <c r="AN65" s="24">
        <f>E65*AM65</f>
        <v/>
      </c>
    </row>
    <row r="66" ht="25.05" customHeight="1">
      <c r="A66" s="12" t="n">
        <v>16138</v>
      </c>
      <c r="B66" s="12" t="inlineStr">
        <is>
          <t>VINO TTO MAS DE LEDA 75 CL</t>
        </is>
      </c>
      <c r="C66" s="3" t="n">
        <v>0</v>
      </c>
      <c r="D66" s="7" t="inlineStr">
        <is>
          <t>BOTELLA</t>
        </is>
      </c>
      <c r="E66" s="8" t="n">
        <v>7.449894</v>
      </c>
      <c r="F66" s="20">
        <f>C66*E66</f>
        <v/>
      </c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22">
        <f>SUM(G66:AK66)</f>
        <v/>
      </c>
      <c r="AM66" s="23">
        <f>SUM(C66,AL66)</f>
        <v/>
      </c>
      <c r="AN66" s="24">
        <f>E66*AM66</f>
        <v/>
      </c>
    </row>
    <row r="67" ht="25.05" customHeight="1">
      <c r="A67" s="12" t="n">
        <v>13345</v>
      </c>
      <c r="B67" s="12" t="inlineStr">
        <is>
          <t>VINO TTO MURUA RVA 75 CL</t>
        </is>
      </c>
      <c r="C67" s="3" t="n">
        <v>0</v>
      </c>
      <c r="D67" s="7" t="inlineStr">
        <is>
          <t>BOTELLA</t>
        </is>
      </c>
      <c r="E67" s="8" t="n">
        <v>8.630000000000001</v>
      </c>
      <c r="F67" s="20">
        <f>C67*E67</f>
        <v/>
      </c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22">
        <f>SUM(G67:AK67)</f>
        <v/>
      </c>
      <c r="AM67" s="23">
        <f>SUM(C67,AL67)</f>
        <v/>
      </c>
      <c r="AN67" s="24">
        <f>E67*AM67</f>
        <v/>
      </c>
    </row>
    <row r="68" ht="25.05" customHeight="1">
      <c r="A68" s="12" t="n">
        <v>934024</v>
      </c>
      <c r="B68" s="12" t="inlineStr">
        <is>
          <t>VINO TTO NUBORI CRI TEMPRANILLO 75 CL</t>
        </is>
      </c>
      <c r="C68" s="3" t="n">
        <v>0</v>
      </c>
      <c r="D68" s="7" t="inlineStr">
        <is>
          <t>BOTELLA</t>
        </is>
      </c>
      <c r="E68" s="8" t="n">
        <v>6.19</v>
      </c>
      <c r="F68" s="20">
        <f>C68*E68</f>
        <v/>
      </c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  <c r="AL68" s="22">
        <f>SUM(G68:AK68)</f>
        <v/>
      </c>
      <c r="AM68" s="23">
        <f>SUM(C68,AL68)</f>
        <v/>
      </c>
      <c r="AN68" s="24">
        <f>E68*AM68</f>
        <v/>
      </c>
    </row>
    <row r="69" ht="25.05" customHeight="1">
      <c r="A69" s="12" t="n">
        <v>17084</v>
      </c>
      <c r="B69" s="12" t="inlineStr">
        <is>
          <t>VINO TTO ORUBE CRI 75 CL</t>
        </is>
      </c>
      <c r="C69" s="3" t="n">
        <v>0</v>
      </c>
      <c r="D69" s="7" t="inlineStr">
        <is>
          <t>BOTELLA</t>
        </is>
      </c>
      <c r="E69" s="8" t="n">
        <v>4.688405</v>
      </c>
      <c r="F69" s="20">
        <f>C69*E69</f>
        <v/>
      </c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9" t="n"/>
      <c r="AI69" s="19" t="n"/>
      <c r="AJ69" s="19" t="n"/>
      <c r="AK69" s="19" t="n"/>
      <c r="AL69" s="22">
        <f>SUM(G69:AK69)</f>
        <v/>
      </c>
      <c r="AM69" s="23">
        <f>SUM(C69,AL69)</f>
        <v/>
      </c>
      <c r="AN69" s="24">
        <f>E69*AM69</f>
        <v/>
      </c>
    </row>
    <row r="70" ht="25.05" customHeight="1">
      <c r="A70" s="12" t="n">
        <v>14988</v>
      </c>
      <c r="B70" s="12" t="inlineStr">
        <is>
          <t>VINO TTO PARAMUS 75 CL</t>
        </is>
      </c>
      <c r="C70" s="3" t="n">
        <v>0</v>
      </c>
      <c r="D70" s="7" t="inlineStr">
        <is>
          <t>BOTELLA</t>
        </is>
      </c>
      <c r="E70" s="8" t="n">
        <v>1.849512</v>
      </c>
      <c r="F70" s="20">
        <f>C70*E70</f>
        <v/>
      </c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  <c r="AH70" s="19" t="n"/>
      <c r="AI70" s="19" t="n"/>
      <c r="AJ70" s="19" t="n"/>
      <c r="AK70" s="19" t="n"/>
      <c r="AL70" s="22">
        <f>SUM(G70:AK70)</f>
        <v/>
      </c>
      <c r="AM70" s="23">
        <f>SUM(C70,AL70)</f>
        <v/>
      </c>
      <c r="AN70" s="24">
        <f>E70*AM70</f>
        <v/>
      </c>
    </row>
    <row r="71" ht="25.05" customHeight="1">
      <c r="A71" s="12" t="n">
        <v>4286</v>
      </c>
      <c r="B71" s="12" t="inlineStr">
        <is>
          <t>VINO TTO PESQUERA CRI 75 CL</t>
        </is>
      </c>
      <c r="C71" s="3" t="n">
        <v>0</v>
      </c>
      <c r="D71" s="7" t="inlineStr">
        <is>
          <t>BOTELLA</t>
        </is>
      </c>
      <c r="E71" s="8" t="n">
        <v>14.6</v>
      </c>
      <c r="F71" s="20">
        <f>C71*E71</f>
        <v/>
      </c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19" t="n"/>
      <c r="AF71" s="19" t="n"/>
      <c r="AG71" s="19" t="n"/>
      <c r="AH71" s="19" t="n"/>
      <c r="AI71" s="19" t="n"/>
      <c r="AJ71" s="19" t="n"/>
      <c r="AK71" s="19" t="n"/>
      <c r="AL71" s="22">
        <f>SUM(G71:AK71)</f>
        <v/>
      </c>
      <c r="AM71" s="23">
        <f>SUM(C71,AL71)</f>
        <v/>
      </c>
      <c r="AN71" s="24">
        <f>E71*AM71</f>
        <v/>
      </c>
    </row>
    <row r="72" ht="25.05" customHeight="1">
      <c r="A72" s="12" t="n">
        <v>23808</v>
      </c>
      <c r="B72" s="12" t="inlineStr">
        <is>
          <t>VINO TTO QUADIS CRI 75 CL</t>
        </is>
      </c>
      <c r="C72" s="3" t="n">
        <v>0</v>
      </c>
      <c r="D72" s="7" t="inlineStr">
        <is>
          <t>BOTELLA</t>
        </is>
      </c>
      <c r="E72" s="8" t="n">
        <v>5.077956</v>
      </c>
      <c r="F72" s="20">
        <f>C72*E72</f>
        <v/>
      </c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  <c r="AH72" s="19" t="n"/>
      <c r="AI72" s="19" t="n"/>
      <c r="AJ72" s="19" t="n"/>
      <c r="AK72" s="19" t="n"/>
      <c r="AL72" s="22">
        <f>SUM(G72:AK72)</f>
        <v/>
      </c>
      <c r="AM72" s="23">
        <f>SUM(C72,AL72)</f>
        <v/>
      </c>
      <c r="AN72" s="24">
        <f>E72*AM72</f>
        <v/>
      </c>
    </row>
    <row r="73" ht="25.05" customHeight="1">
      <c r="A73" s="12" t="n">
        <v>24655</v>
      </c>
      <c r="B73" s="12" t="inlineStr">
        <is>
          <t>VINO TTO RAMON BILBAO VIÑEDOS DE ALTURA 75 CL</t>
        </is>
      </c>
      <c r="C73" s="3" t="n">
        <v>0</v>
      </c>
      <c r="D73" s="7" t="inlineStr">
        <is>
          <t>BOTELLA</t>
        </is>
      </c>
      <c r="E73" s="8" t="n">
        <v>11.12</v>
      </c>
      <c r="F73" s="20">
        <f>C73*E73</f>
        <v/>
      </c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  <c r="AL73" s="22">
        <f>SUM(G73:AK73)</f>
        <v/>
      </c>
      <c r="AM73" s="23">
        <f>SUM(C73,AL73)</f>
        <v/>
      </c>
      <c r="AN73" s="24">
        <f>E73*AM73</f>
        <v/>
      </c>
    </row>
    <row r="74" ht="25.05" customHeight="1">
      <c r="A74" s="12" t="n">
        <v>6923</v>
      </c>
      <c r="B74" s="12" t="inlineStr">
        <is>
          <t>VINO TTO RENE BARBIER MEDITERRANEAN 75 CL</t>
        </is>
      </c>
      <c r="C74" s="3" t="n">
        <v>0</v>
      </c>
      <c r="D74" s="7" t="inlineStr">
        <is>
          <t>BOTELLA</t>
        </is>
      </c>
      <c r="E74" s="8" t="n">
        <v>2.192605</v>
      </c>
      <c r="F74" s="20">
        <f>C74*E74</f>
        <v/>
      </c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9" t="n"/>
      <c r="AI74" s="19" t="n"/>
      <c r="AJ74" s="19" t="n"/>
      <c r="AK74" s="19" t="n"/>
      <c r="AL74" s="22">
        <f>SUM(G74:AK74)</f>
        <v/>
      </c>
      <c r="AM74" s="23">
        <f>SUM(C74,AL74)</f>
        <v/>
      </c>
      <c r="AN74" s="24">
        <f>E74*AM74</f>
        <v/>
      </c>
    </row>
    <row r="75" ht="25.05" customHeight="1">
      <c r="A75" s="12" t="n">
        <v>6927</v>
      </c>
      <c r="B75" s="12" t="inlineStr">
        <is>
          <t>VINO TTO VALDUBON ROBLE 75 CL</t>
        </is>
      </c>
      <c r="C75" s="3" t="n">
        <v>0</v>
      </c>
      <c r="D75" s="7" t="inlineStr">
        <is>
          <t>BOTELLA</t>
        </is>
      </c>
      <c r="E75" s="8" t="n">
        <v>5.028661</v>
      </c>
      <c r="F75" s="20">
        <f>C75*E75</f>
        <v/>
      </c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  <c r="AL75" s="22">
        <f>SUM(G75:AK75)</f>
        <v/>
      </c>
      <c r="AM75" s="23">
        <f>SUM(C75,AL75)</f>
        <v/>
      </c>
      <c r="AN75" s="24">
        <f>E75*AM75</f>
        <v/>
      </c>
    </row>
    <row r="76" ht="25.05" customHeight="1">
      <c r="A76" s="12" t="n">
        <v>19084</v>
      </c>
      <c r="B76" s="12" t="inlineStr">
        <is>
          <t>VINO TTO VIÑA MAGNA CRI 75 CL</t>
        </is>
      </c>
      <c r="C76" s="3" t="n">
        <v>0</v>
      </c>
      <c r="D76" s="7" t="inlineStr">
        <is>
          <t>BOTELLA</t>
        </is>
      </c>
      <c r="E76" s="8" t="n">
        <v>12.9</v>
      </c>
      <c r="F76" s="20">
        <f>C76*E76</f>
        <v/>
      </c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  <c r="AE76" s="19" t="n"/>
      <c r="AF76" s="19" t="n"/>
      <c r="AG76" s="19" t="n"/>
      <c r="AH76" s="19" t="n"/>
      <c r="AI76" s="19" t="n"/>
      <c r="AJ76" s="19" t="n"/>
      <c r="AK76" s="19" t="n"/>
      <c r="AL76" s="22">
        <f>SUM(G76:AK76)</f>
        <v/>
      </c>
      <c r="AM76" s="23">
        <f>SUM(C76,AL76)</f>
        <v/>
      </c>
      <c r="AN76" s="24">
        <f>E76*AM76</f>
        <v/>
      </c>
    </row>
    <row r="77" ht="25.05" customHeight="1">
      <c r="A77" s="12" t="n">
        <v>6471</v>
      </c>
      <c r="B77" s="12" t="inlineStr">
        <is>
          <t>VINO TTO VIÑA SALCEDA CRI 75 CL</t>
        </is>
      </c>
      <c r="C77" s="3" t="n">
        <v>0</v>
      </c>
      <c r="D77" s="7" t="inlineStr">
        <is>
          <t>BOTELLA</t>
        </is>
      </c>
      <c r="E77" s="8" t="n">
        <v>6.149871</v>
      </c>
      <c r="F77" s="20">
        <f>C77*E77</f>
        <v/>
      </c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  <c r="AL77" s="22">
        <f>SUM(G77:AK77)</f>
        <v/>
      </c>
      <c r="AM77" s="23">
        <f>SUM(C77,AL77)</f>
        <v/>
      </c>
      <c r="AN77" s="24">
        <f>E77*AM77</f>
        <v/>
      </c>
    </row>
    <row r="78" ht="25.05" customHeight="1">
      <c r="A78" s="12" t="n">
        <v>4815</v>
      </c>
      <c r="B78" s="12" t="inlineStr">
        <is>
          <t>BIB VINO BCO 12º</t>
        </is>
      </c>
      <c r="C78" s="3" t="n">
        <v>0</v>
      </c>
      <c r="D78" s="7" t="inlineStr">
        <is>
          <t>LITRO</t>
        </is>
      </c>
      <c r="E78" s="8" t="n">
        <v>1.118</v>
      </c>
      <c r="F78" s="20">
        <f>C78*E78</f>
        <v/>
      </c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9" t="n"/>
      <c r="AI78" s="19" t="n"/>
      <c r="AJ78" s="19" t="n"/>
      <c r="AK78" s="19" t="n"/>
      <c r="AL78" s="22">
        <f>SUM(G78:AK78)</f>
        <v/>
      </c>
      <c r="AM78" s="23">
        <f>SUM(C78,AL78)</f>
        <v/>
      </c>
      <c r="AN78" s="24">
        <f>E78*AM78</f>
        <v/>
      </c>
    </row>
    <row r="79" ht="25.05" customHeight="1">
      <c r="A79" s="12" t="n">
        <v>4840</v>
      </c>
      <c r="B79" s="12" t="inlineStr">
        <is>
          <t>BIB VINO TTO 12º</t>
        </is>
      </c>
      <c r="C79" s="3" t="n">
        <v>0</v>
      </c>
      <c r="D79" s="7" t="inlineStr">
        <is>
          <t>LITRO</t>
        </is>
      </c>
      <c r="E79" s="8" t="n">
        <v>1.118</v>
      </c>
      <c r="F79" s="20">
        <f>C79*E79</f>
        <v/>
      </c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  <c r="AL79" s="22">
        <f>SUM(G79:AK79)</f>
        <v/>
      </c>
      <c r="AM79" s="23">
        <f>SUM(C79,AL79)</f>
        <v/>
      </c>
      <c r="AN79" s="24">
        <f>E79*AM79</f>
        <v/>
      </c>
    </row>
    <row r="80" ht="25.05" customHeight="1">
      <c r="A80" s="37" t="inlineStr">
        <is>
          <t>28370</t>
        </is>
      </c>
      <c r="B80" s="12" t="inlineStr">
        <is>
          <t>JARABE TE CHAI S/ALCOHOL 70 CL</t>
        </is>
      </c>
      <c r="C80" s="3" t="n">
        <v>0</v>
      </c>
      <c r="D80" s="7" t="inlineStr">
        <is>
          <t>BOTELLA</t>
        </is>
      </c>
      <c r="E80" s="8" t="n">
        <v>10.49</v>
      </c>
      <c r="F80" s="20">
        <f>C80*E80</f>
        <v/>
      </c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  <c r="AH80" s="19" t="n"/>
      <c r="AI80" s="19" t="n"/>
      <c r="AJ80" s="19" t="n"/>
      <c r="AK80" s="19" t="n"/>
      <c r="AL80" s="22">
        <f>SUM(G80:AK80)</f>
        <v/>
      </c>
      <c r="AM80" s="23">
        <f>SUM(C80,AL80)</f>
        <v/>
      </c>
      <c r="AN80" s="24">
        <f>E80*AM80</f>
        <v/>
      </c>
    </row>
    <row r="81" ht="25.05" customHeight="1">
      <c r="A81" s="37" t="inlineStr">
        <is>
          <t>581</t>
        </is>
      </c>
      <c r="B81" s="12" t="inlineStr">
        <is>
          <t>SIROPE CARAMELO 1000-1200 GR</t>
        </is>
      </c>
      <c r="C81" s="3" t="n">
        <v>0</v>
      </c>
      <c r="D81" s="7" t="inlineStr">
        <is>
          <t>BOTE</t>
        </is>
      </c>
      <c r="E81" s="8" t="n">
        <v>3.25241</v>
      </c>
      <c r="F81" s="20">
        <f>C81*E81</f>
        <v/>
      </c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9" t="n"/>
      <c r="AI81" s="19" t="n"/>
      <c r="AJ81" s="19" t="n"/>
      <c r="AK81" s="19" t="n"/>
      <c r="AL81" s="22">
        <f>SUM(G81:AK81)</f>
        <v/>
      </c>
      <c r="AM81" s="23">
        <f>SUM(C81,AL81)</f>
        <v/>
      </c>
      <c r="AN81" s="24">
        <f>E81*AM81</f>
        <v/>
      </c>
    </row>
    <row r="82" ht="25.05" customHeight="1">
      <c r="A82" s="37" t="inlineStr">
        <is>
          <t>14573</t>
        </is>
      </c>
      <c r="B82" s="12" t="inlineStr">
        <is>
          <t>AGUA SIN GAS CRISTAL AQUABONA C/R 50 CL</t>
        </is>
      </c>
      <c r="C82" s="3" t="n">
        <v>0</v>
      </c>
      <c r="D82" s="7" t="inlineStr">
        <is>
          <t>BOTELLA</t>
        </is>
      </c>
      <c r="E82" s="8" t="n">
        <v>0.1895</v>
      </c>
      <c r="F82" s="20">
        <f>C82*E82</f>
        <v/>
      </c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9" t="n"/>
      <c r="AI82" s="19" t="n"/>
      <c r="AJ82" s="19" t="n"/>
      <c r="AK82" s="19" t="n"/>
      <c r="AL82" s="22">
        <f>SUM(G82:AK82)</f>
        <v/>
      </c>
      <c r="AM82" s="23">
        <f>SUM(C82,AL82)</f>
        <v/>
      </c>
      <c r="AN82" s="24">
        <f>E82*AM82</f>
        <v/>
      </c>
    </row>
    <row r="83" ht="25.05" customHeight="1">
      <c r="A83" s="37" t="inlineStr">
        <is>
          <t>6913</t>
        </is>
      </c>
      <c r="B83" s="37" t="inlineStr">
        <is>
          <t>VINO RDO RENE BARBIER MEDITERRANEAN 75 CL</t>
        </is>
      </c>
      <c r="C83" s="3" t="n">
        <v>0</v>
      </c>
      <c r="D83" s="38" t="inlineStr">
        <is>
          <t>BOTELLA</t>
        </is>
      </c>
      <c r="E83" s="8" t="n">
        <v>2.12516</v>
      </c>
      <c r="F83" s="20">
        <f>C83*E83</f>
        <v/>
      </c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  <c r="AA83" s="19" t="n"/>
      <c r="AB83" s="19" t="n"/>
      <c r="AC83" s="19" t="n"/>
      <c r="AD83" s="19" t="n"/>
      <c r="AE83" s="19" t="n"/>
      <c r="AF83" s="19" t="n"/>
      <c r="AG83" s="19" t="n"/>
      <c r="AH83" s="19" t="n"/>
      <c r="AI83" s="19" t="n"/>
      <c r="AJ83" s="19" t="n"/>
      <c r="AK83" s="19" t="n"/>
      <c r="AL83" s="22">
        <f>SUM(G83:AK83)</f>
        <v/>
      </c>
      <c r="AM83" s="23">
        <f>SUM(C83,AL83)</f>
        <v/>
      </c>
      <c r="AN83" s="24">
        <f>E83*AM83</f>
        <v/>
      </c>
    </row>
    <row r="84" ht="25.05" customHeight="1">
      <c r="A84" s="37" t="inlineStr">
        <is>
          <t>10907</t>
        </is>
      </c>
      <c r="B84" s="37" t="inlineStr">
        <is>
          <t>REFRESCO CRISTAL AQUARIUS C/R 30 CL</t>
        </is>
      </c>
      <c r="C84" s="3" t="n">
        <v>0</v>
      </c>
      <c r="D84" s="38" t="inlineStr">
        <is>
          <t>BOTELLA</t>
        </is>
      </c>
      <c r="E84" s="8" t="n">
        <v>0.66121</v>
      </c>
      <c r="F84" s="20">
        <f>C84*E84</f>
        <v/>
      </c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19" t="n"/>
      <c r="AG84" s="19" t="n"/>
      <c r="AH84" s="19" t="n"/>
      <c r="AI84" s="19" t="n"/>
      <c r="AJ84" s="19" t="n"/>
      <c r="AK84" s="19" t="n"/>
      <c r="AL84" s="22">
        <f>SUM(G84:AK84)</f>
        <v/>
      </c>
      <c r="AM84" s="23">
        <f>SUM(C84,AL84)</f>
        <v/>
      </c>
      <c r="AN84" s="24">
        <f>E84*AM84</f>
        <v/>
      </c>
    </row>
    <row r="85" ht="25.05" customHeight="1">
      <c r="A85" s="37" t="inlineStr">
        <is>
          <t>19838</t>
        </is>
      </c>
      <c r="B85" s="37" t="inlineStr">
        <is>
          <t>REFRESCO CRISTAL AQUARIUS NARANJA C/R 30 CL</t>
        </is>
      </c>
      <c r="C85" s="3" t="n">
        <v>0</v>
      </c>
      <c r="D85" s="38" t="inlineStr">
        <is>
          <t>BOTELLA</t>
        </is>
      </c>
      <c r="E85" s="8" t="n">
        <v>0.66121</v>
      </c>
      <c r="F85" s="20">
        <f>C85*E85</f>
        <v/>
      </c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  <c r="AA85" s="19" t="n"/>
      <c r="AB85" s="19" t="n"/>
      <c r="AC85" s="19" t="n"/>
      <c r="AD85" s="19" t="n"/>
      <c r="AE85" s="19" t="n"/>
      <c r="AF85" s="19" t="n"/>
      <c r="AG85" s="19" t="n"/>
      <c r="AH85" s="19" t="n"/>
      <c r="AI85" s="19" t="n"/>
      <c r="AJ85" s="19" t="n"/>
      <c r="AK85" s="19" t="n"/>
      <c r="AL85" s="22">
        <f>SUM(G85:AK85)</f>
        <v/>
      </c>
      <c r="AM85" s="23">
        <f>SUM(C85,AL85)</f>
        <v/>
      </c>
      <c r="AN85" s="24">
        <f>E85*AM85</f>
        <v/>
      </c>
    </row>
    <row r="86" ht="25.05" customHeight="1">
      <c r="A86" s="37" t="inlineStr">
        <is>
          <t>1587</t>
        </is>
      </c>
      <c r="B86" s="37" t="inlineStr">
        <is>
          <t>REFRESCO CRISTAL BITTER KAS S/R 20 CL</t>
        </is>
      </c>
      <c r="C86" s="3" t="n">
        <v>0</v>
      </c>
      <c r="D86" s="38" t="inlineStr">
        <is>
          <t>BOTELLA</t>
        </is>
      </c>
      <c r="E86" s="8" t="n">
        <v>0.65264</v>
      </c>
      <c r="F86" s="20">
        <f>C86*E86</f>
        <v/>
      </c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  <c r="AH86" s="19" t="n"/>
      <c r="AI86" s="19" t="n"/>
      <c r="AJ86" s="19" t="n"/>
      <c r="AK86" s="19" t="n"/>
      <c r="AL86" s="22">
        <f>SUM(G86:AK86)</f>
        <v/>
      </c>
      <c r="AM86" s="23">
        <f>SUM(C86,AL86)</f>
        <v/>
      </c>
      <c r="AN86" s="24">
        <f>E86*AM86</f>
        <v/>
      </c>
    </row>
    <row r="87" ht="25.05" customHeight="1">
      <c r="A87" s="37" t="inlineStr">
        <is>
          <t>17503</t>
        </is>
      </c>
      <c r="B87" s="37" t="inlineStr">
        <is>
          <t>REFRESCO CRISTAL GASEOSA LA CASERA C/R 50 CL</t>
        </is>
      </c>
      <c r="C87" s="3" t="n">
        <v>0</v>
      </c>
      <c r="D87" s="38" t="inlineStr">
        <is>
          <t>BOTELLA</t>
        </is>
      </c>
      <c r="E87" s="8" t="n">
        <v>0.45394</v>
      </c>
      <c r="F87" s="20">
        <f>C87*E87</f>
        <v/>
      </c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19" t="n"/>
      <c r="AF87" s="19" t="n"/>
      <c r="AG87" s="19" t="n"/>
      <c r="AH87" s="19" t="n"/>
      <c r="AI87" s="19" t="n"/>
      <c r="AJ87" s="19" t="n"/>
      <c r="AK87" s="19" t="n"/>
      <c r="AL87" s="22">
        <f>SUM(G87:AK87)</f>
        <v/>
      </c>
      <c r="AM87" s="23">
        <f>SUM(C87,AL87)</f>
        <v/>
      </c>
      <c r="AN87" s="24">
        <f>E87*AM87</f>
        <v/>
      </c>
    </row>
    <row r="88" ht="25.05" customHeight="1">
      <c r="C88" s="3">
        <f>SUM(C7:C87)</f>
        <v/>
      </c>
      <c r="D88" s="9" t="n"/>
      <c r="E88" s="10" t="inlineStr">
        <is>
          <t>ESTOCAJE  INICIAL</t>
        </is>
      </c>
      <c r="F88" s="11">
        <f>SUM(F7:F87)</f>
        <v/>
      </c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>
        <f>SUM(AL7:AL87)</f>
        <v/>
      </c>
      <c r="AM88" s="12">
        <f>SUM(AM7:AM87)</f>
        <v/>
      </c>
      <c r="AN88" s="25">
        <f>SUM(AN7:AN87)</f>
        <v/>
      </c>
    </row>
    <row r="89" ht="25.05" customHeight="1">
      <c r="D89" s="9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</row>
    <row r="90" ht="25.05" customHeight="1">
      <c r="D90" s="9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</row>
    <row r="91" ht="25.05" customHeight="1">
      <c r="D91" s="9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</row>
    <row r="92" ht="25.05" customHeight="1">
      <c r="D92" s="9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</row>
    <row r="93" ht="25.05" customHeight="1">
      <c r="D93" s="9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</row>
    <row r="94" ht="25.05" customHeight="1">
      <c r="D94" s="9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</row>
    <row r="95" ht="25.05" customHeight="1">
      <c r="D95" s="9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</row>
    <row r="96" ht="25.05" customHeight="1">
      <c r="D96" s="9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</row>
    <row r="97" ht="25.05" customHeight="1">
      <c r="D97" s="9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</row>
    <row r="98" ht="25.05" customHeight="1">
      <c r="D98" s="9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</row>
    <row r="99" ht="25.05" customHeight="1">
      <c r="D99" s="9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</row>
    <row r="100" ht="25.05" customHeight="1">
      <c r="D100" s="9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</row>
    <row r="101" ht="25.05" customHeight="1">
      <c r="D101" s="9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</row>
    <row r="102" ht="25.05" customHeight="1">
      <c r="D102" s="9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</row>
    <row r="103" ht="25.05" customHeight="1">
      <c r="D103" s="9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</row>
    <row r="104" ht="25.05" customHeight="1">
      <c r="D104" s="9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</row>
    <row r="105" ht="25.05" customHeight="1">
      <c r="D105" s="9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</row>
    <row r="106" ht="25.05" customHeight="1">
      <c r="D106" s="9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</row>
    <row r="107" ht="25.05" customHeight="1">
      <c r="D107" s="9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</row>
    <row r="108" ht="25.05" customHeight="1">
      <c r="D108" s="9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</row>
    <row r="109" ht="25.05" customHeight="1">
      <c r="D109" s="9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</row>
    <row r="110" ht="25.05" customHeight="1">
      <c r="D110" s="9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</row>
    <row r="111" ht="25.05" customHeight="1">
      <c r="D111" s="9" t="n"/>
    </row>
    <row r="112" ht="25.05" customHeight="1">
      <c r="D112" s="9" t="n"/>
    </row>
    <row r="113" ht="25.05" customHeight="1">
      <c r="D113" s="9" t="n"/>
    </row>
    <row r="114" ht="25.05" customHeight="1">
      <c r="D114" s="9" t="n"/>
    </row>
    <row r="115" ht="25.05" customHeight="1">
      <c r="D115" s="9" t="n"/>
    </row>
    <row r="116" ht="25.05" customHeight="1">
      <c r="D116" s="9" t="n"/>
    </row>
    <row r="117" ht="25.05" customHeight="1">
      <c r="D117" s="9" t="n"/>
    </row>
    <row r="118" ht="25.05" customHeight="1">
      <c r="D118" s="9" t="n"/>
    </row>
    <row r="119" ht="25.05" customHeight="1">
      <c r="D119" s="9" t="n"/>
    </row>
    <row r="120" ht="25.05" customHeight="1">
      <c r="D120" s="9" t="n"/>
    </row>
    <row r="121" ht="25.05" customHeight="1">
      <c r="D121" s="9" t="n"/>
    </row>
    <row r="122" ht="25.05" customHeight="1">
      <c r="D122" s="9" t="n"/>
    </row>
    <row r="123" ht="25.05" customHeight="1">
      <c r="D123" s="9" t="n"/>
    </row>
    <row r="124" ht="25.05" customHeight="1">
      <c r="D124" s="9" t="n"/>
    </row>
    <row r="125" ht="25.05" customHeight="1">
      <c r="D125" s="9" t="n"/>
    </row>
    <row r="126" ht="25.05" customHeight="1">
      <c r="D126" s="9" t="n"/>
    </row>
    <row r="127" ht="25.05" customHeight="1">
      <c r="D127" s="9" t="n"/>
    </row>
    <row r="128" ht="25.05" customHeight="1">
      <c r="D128" s="9" t="n"/>
    </row>
    <row r="129" ht="25.05" customHeight="1">
      <c r="D129" s="9" t="n"/>
    </row>
    <row r="130" ht="25.05" customHeight="1">
      <c r="D130" s="9" t="n"/>
    </row>
    <row r="131" ht="25.05" customHeight="1">
      <c r="D131" s="9" t="n"/>
    </row>
    <row r="132" ht="25.05" customHeight="1">
      <c r="D132" s="9" t="n"/>
    </row>
    <row r="133" ht="25.05" customHeight="1">
      <c r="D133" s="9" t="n"/>
    </row>
    <row r="134" ht="25.05" customHeight="1">
      <c r="D134" s="9" t="n"/>
    </row>
    <row r="135" ht="25.05" customHeight="1">
      <c r="D135" s="9" t="n"/>
    </row>
    <row r="136" ht="25.05" customHeight="1">
      <c r="D136" s="9" t="n"/>
    </row>
    <row r="137" ht="25.05" customHeight="1">
      <c r="D137" s="9" t="n"/>
    </row>
    <row r="138" ht="25.05" customHeight="1">
      <c r="D138" s="9" t="n"/>
    </row>
    <row r="139" ht="25.05" customHeight="1">
      <c r="D139" s="9" t="n"/>
    </row>
    <row r="140" ht="25.05" customHeight="1">
      <c r="D140" s="9" t="n"/>
    </row>
    <row r="141" ht="25.05" customHeight="1">
      <c r="D141" s="9" t="n"/>
    </row>
    <row r="142" ht="25.05" customHeight="1">
      <c r="D142" s="9" t="n"/>
    </row>
    <row r="143" ht="25.05" customHeight="1">
      <c r="D143" s="9" t="n"/>
    </row>
    <row r="144" ht="25.05" customHeight="1">
      <c r="D144" s="9" t="n"/>
    </row>
    <row r="145" ht="25.05" customHeight="1">
      <c r="D145" s="9" t="n"/>
    </row>
    <row r="146" ht="25.05" customHeight="1">
      <c r="D146" s="9" t="n"/>
    </row>
    <row r="147" ht="25.05" customHeight="1">
      <c r="D147" s="9" t="n"/>
    </row>
    <row r="148" ht="25.05" customHeight="1">
      <c r="D148" s="9" t="n"/>
    </row>
    <row r="149" ht="25.05" customHeight="1">
      <c r="D149" s="9" t="n"/>
    </row>
    <row r="150" ht="25.05" customHeight="1">
      <c r="D150" s="9" t="n"/>
    </row>
    <row r="151" ht="25.05" customHeight="1">
      <c r="D151" s="9" t="n"/>
    </row>
    <row r="152" ht="25.05" customHeight="1">
      <c r="D152" s="9" t="n"/>
    </row>
    <row r="153" ht="25.05" customHeight="1">
      <c r="D153" s="9" t="n"/>
    </row>
    <row r="154" ht="25.05" customHeight="1">
      <c r="D154" s="9" t="n"/>
    </row>
    <row r="155" ht="25.05" customHeight="1">
      <c r="D155" s="9" t="n"/>
    </row>
    <row r="156" ht="25.05" customHeight="1">
      <c r="D156" s="9" t="n"/>
    </row>
    <row r="157" ht="25.05" customHeight="1">
      <c r="D157" s="9" t="n"/>
    </row>
    <row r="158" ht="25.05" customHeight="1">
      <c r="D158" s="9" t="n"/>
    </row>
    <row r="159" ht="25.05" customHeight="1">
      <c r="D159" s="9" t="n"/>
    </row>
    <row r="160" ht="25.05" customHeight="1">
      <c r="D160" s="9" t="n"/>
    </row>
    <row r="161" ht="25.05" customHeight="1">
      <c r="D161" s="9" t="n"/>
    </row>
    <row r="162" ht="25.05" customHeight="1">
      <c r="D162" s="9" t="n"/>
    </row>
    <row r="163" ht="25.05" customHeight="1">
      <c r="D163" s="9" t="n"/>
    </row>
    <row r="164" ht="25.05" customHeight="1">
      <c r="D164" s="9" t="n"/>
    </row>
    <row r="165" ht="25.05" customHeight="1">
      <c r="D165" s="9" t="n"/>
    </row>
    <row r="166" ht="25.05" customHeight="1">
      <c r="D166" s="9" t="n"/>
    </row>
    <row r="167" ht="25.05" customHeight="1">
      <c r="D167" s="9" t="n"/>
    </row>
    <row r="168" ht="25.05" customHeight="1">
      <c r="D168" s="9" t="n"/>
    </row>
    <row r="169" ht="25.05" customHeight="1">
      <c r="D169" s="9" t="n"/>
    </row>
    <row r="170" ht="25.05" customHeight="1">
      <c r="D170" s="9" t="n"/>
    </row>
    <row r="171" ht="25.05" customHeight="1">
      <c r="D171" s="9" t="n"/>
    </row>
    <row r="172" ht="25.05" customHeight="1">
      <c r="D172" s="9" t="n"/>
    </row>
    <row r="173" ht="25.05" customHeight="1">
      <c r="D173" s="9" t="n"/>
    </row>
    <row r="174" ht="25.05" customHeight="1">
      <c r="D174" s="9" t="n"/>
    </row>
    <row r="175" ht="25.05" customHeight="1">
      <c r="D175" s="9" t="n"/>
    </row>
    <row r="176" ht="25.05" customHeight="1">
      <c r="D176" s="9" t="n"/>
    </row>
    <row r="177" ht="25.05" customHeight="1">
      <c r="D177" s="9" t="n"/>
    </row>
    <row r="178" ht="25.05" customHeight="1">
      <c r="D178" s="9" t="n"/>
    </row>
    <row r="179" ht="25.05" customHeight="1">
      <c r="D179" s="9" t="n"/>
    </row>
    <row r="180" ht="25.05" customHeight="1">
      <c r="D180" s="9" t="n"/>
    </row>
    <row r="181" ht="25.05" customHeight="1">
      <c r="D181" s="9" t="n"/>
    </row>
    <row r="182" ht="25.05" customHeight="1">
      <c r="D182" s="9" t="n"/>
    </row>
    <row r="183" ht="25.05" customHeight="1">
      <c r="D183" s="9" t="n"/>
    </row>
    <row r="184" ht="25.05" customHeight="1">
      <c r="D184" s="9" t="n"/>
    </row>
    <row r="185" ht="25.05" customHeight="1">
      <c r="D185" s="9" t="n"/>
    </row>
    <row r="186" ht="25.05" customHeight="1">
      <c r="D186" s="9" t="n"/>
    </row>
    <row r="187" ht="25.05" customHeight="1">
      <c r="D187" s="9" t="n"/>
    </row>
    <row r="188" ht="25.05" customHeight="1">
      <c r="D188" s="9" t="n"/>
    </row>
    <row r="189" ht="25.05" customHeight="1">
      <c r="D189" s="9" t="n"/>
    </row>
    <row r="190" ht="25.05" customHeight="1">
      <c r="D190" s="9" t="n"/>
    </row>
    <row r="191" ht="25.05" customHeight="1">
      <c r="D191" s="9" t="n"/>
    </row>
    <row r="192" ht="25.05" customHeight="1">
      <c r="D192" s="9" t="n"/>
    </row>
    <row r="193" ht="25.05" customHeight="1">
      <c r="D193" s="9" t="n"/>
    </row>
    <row r="194" ht="25.05" customHeight="1">
      <c r="D194" s="9" t="n"/>
    </row>
    <row r="195" ht="25.05" customHeight="1">
      <c r="D195" s="9" t="n"/>
    </row>
    <row r="196" ht="25.05" customHeight="1">
      <c r="D196" s="9" t="n"/>
    </row>
    <row r="197" ht="25.05" customHeight="1">
      <c r="D197" s="9" t="n"/>
    </row>
    <row r="198" ht="25.05" customHeight="1">
      <c r="D198" s="9" t="n"/>
    </row>
    <row r="199" ht="25.05" customHeight="1">
      <c r="D199" s="9" t="n"/>
    </row>
    <row r="200" ht="25.05" customHeight="1">
      <c r="D200" s="9" t="n"/>
    </row>
    <row r="201" ht="25.05" customHeight="1">
      <c r="D201" s="9" t="n"/>
    </row>
    <row r="202" ht="25.05" customHeight="1">
      <c r="D202" s="9" t="n"/>
    </row>
    <row r="203" ht="25.05" customHeight="1">
      <c r="D203" s="9" t="n"/>
    </row>
    <row r="204" ht="25.05" customHeight="1">
      <c r="D204" s="9" t="n"/>
    </row>
    <row r="205" ht="25.05" customHeight="1">
      <c r="D205" s="9" t="n"/>
    </row>
    <row r="206" ht="25.05" customHeight="1">
      <c r="D206" s="9" t="n"/>
    </row>
    <row r="207" ht="25.05" customHeight="1">
      <c r="D207" s="9" t="n"/>
    </row>
    <row r="208" ht="25.05" customHeight="1">
      <c r="D208" s="9" t="n"/>
    </row>
    <row r="209" ht="25.05" customHeight="1">
      <c r="D209" s="9" t="n"/>
    </row>
    <row r="210" ht="25.05" customHeight="1">
      <c r="D210" s="9" t="n"/>
    </row>
    <row r="211" ht="25.05" customHeight="1">
      <c r="D211" s="9" t="n"/>
    </row>
    <row r="212" ht="25.05" customHeight="1">
      <c r="D212" s="9" t="n"/>
    </row>
    <row r="213" ht="25.05" customHeight="1">
      <c r="D213" s="9" t="n"/>
    </row>
    <row r="214" ht="25.05" customHeight="1">
      <c r="D214" s="9" t="n"/>
    </row>
    <row r="215" ht="25.05" customHeight="1">
      <c r="D215" s="9" t="n"/>
    </row>
    <row r="216" ht="25.05" customHeight="1">
      <c r="D216" s="9" t="n"/>
    </row>
    <row r="217" ht="25.05" customHeight="1">
      <c r="D217" s="9" t="n"/>
    </row>
    <row r="218" ht="25.05" customHeight="1">
      <c r="D218" s="9" t="n"/>
    </row>
    <row r="219" ht="25.05" customHeight="1">
      <c r="D219" s="9" t="n"/>
    </row>
    <row r="220" ht="25.05" customHeight="1">
      <c r="D220" s="9" t="n"/>
    </row>
    <row r="221" ht="25.05" customHeight="1">
      <c r="D221" s="9" t="n"/>
    </row>
    <row r="222" ht="25.05" customHeight="1">
      <c r="D222" s="9" t="n"/>
    </row>
    <row r="223" ht="25.05" customHeight="1">
      <c r="D223" s="9" t="n"/>
    </row>
    <row r="224" ht="25.05" customHeight="1">
      <c r="D224" s="9" t="n"/>
    </row>
    <row r="225" ht="25.05" customHeight="1">
      <c r="D225" s="9" t="n"/>
    </row>
    <row r="226" ht="25.05" customHeight="1">
      <c r="D226" s="9" t="n"/>
    </row>
    <row r="227" ht="25.05" customHeight="1">
      <c r="D227" s="9" t="n"/>
    </row>
    <row r="228" ht="25.05" customHeight="1">
      <c r="D228" s="9" t="n"/>
    </row>
    <row r="229" ht="25.05" customHeight="1">
      <c r="D229" s="9" t="n"/>
    </row>
    <row r="230" ht="25.05" customHeight="1">
      <c r="D230" s="9" t="n"/>
    </row>
    <row r="231" ht="25.05" customHeight="1">
      <c r="D231" s="9" t="n"/>
    </row>
    <row r="232" ht="25.05" customHeight="1">
      <c r="D232" s="9" t="n"/>
    </row>
    <row r="233" ht="25.05" customHeight="1">
      <c r="D233" s="9" t="n"/>
    </row>
    <row r="234" ht="25.05" customHeight="1">
      <c r="D234" s="9" t="n"/>
    </row>
    <row r="235" ht="25.05" customHeight="1">
      <c r="D235" s="9" t="n"/>
    </row>
    <row r="236" ht="25.05" customHeight="1">
      <c r="D236" s="9" t="n"/>
    </row>
    <row r="237" ht="25.05" customHeight="1">
      <c r="D237" s="9" t="n"/>
    </row>
    <row r="238" ht="25.05" customHeight="1">
      <c r="D238" s="9" t="n"/>
    </row>
    <row r="239" ht="25.05" customHeight="1">
      <c r="D239" s="9" t="n"/>
    </row>
    <row r="240" ht="25.05" customHeight="1">
      <c r="D240" s="9" t="n"/>
    </row>
    <row r="241" ht="25.05" customHeight="1">
      <c r="D241" s="9" t="n"/>
    </row>
    <row r="242" ht="25.05" customHeight="1">
      <c r="D242" s="9" t="n"/>
    </row>
    <row r="243" ht="25.05" customHeight="1">
      <c r="D243" s="9" t="n"/>
    </row>
    <row r="244" ht="25.05" customHeight="1">
      <c r="D244" s="9" t="n"/>
    </row>
    <row r="245" ht="25.05" customHeight="1">
      <c r="D245" s="9" t="n"/>
    </row>
    <row r="246" ht="25.05" customHeight="1">
      <c r="D246" s="9" t="n"/>
    </row>
    <row r="247" ht="25.05" customHeight="1">
      <c r="D247" s="9" t="n"/>
    </row>
    <row r="248" ht="25.05" customHeight="1">
      <c r="D248" s="9" t="n"/>
    </row>
    <row r="249" ht="25.05" customHeight="1">
      <c r="D249" s="9" t="n"/>
    </row>
    <row r="250" ht="25.05" customHeight="1">
      <c r="D250" s="9" t="n"/>
    </row>
    <row r="251" ht="25.05" customHeight="1">
      <c r="D251" s="9" t="n"/>
    </row>
    <row r="252" ht="25.05" customHeight="1">
      <c r="D252" s="9" t="n"/>
    </row>
    <row r="253" ht="25.05" customHeight="1">
      <c r="D253" s="9" t="n"/>
    </row>
    <row r="254" ht="25.05" customHeight="1">
      <c r="D254" s="9" t="n"/>
    </row>
    <row r="255" ht="25.05" customHeight="1">
      <c r="D255" s="9" t="n"/>
    </row>
    <row r="256" ht="25.05" customHeight="1">
      <c r="D256" s="9" t="n"/>
    </row>
    <row r="257" ht="25.05" customHeight="1">
      <c r="D257" s="9" t="n"/>
    </row>
    <row r="258" ht="25.05" customHeight="1">
      <c r="D258" s="9" t="n"/>
    </row>
    <row r="259" ht="25.05" customHeight="1">
      <c r="D259" s="9" t="n"/>
    </row>
    <row r="260" ht="25.05" customHeight="1">
      <c r="D260" s="9" t="n"/>
    </row>
    <row r="261" ht="25.05" customHeight="1">
      <c r="D261" s="9" t="n"/>
    </row>
    <row r="262" ht="25.05" customHeight="1">
      <c r="D262" s="9" t="n"/>
    </row>
    <row r="263" ht="25.05" customHeight="1">
      <c r="D263" s="9" t="n"/>
    </row>
    <row r="264" ht="25.05" customHeight="1">
      <c r="D264" s="9" t="n"/>
    </row>
    <row r="265" ht="25.05" customHeight="1">
      <c r="D265" s="9" t="n"/>
    </row>
    <row r="266" ht="25.05" customHeight="1">
      <c r="D266" s="9" t="n"/>
    </row>
    <row r="267" ht="25.05" customHeight="1">
      <c r="D267" s="9" t="n"/>
    </row>
    <row r="268" ht="25.05" customHeight="1">
      <c r="D268" s="9" t="n"/>
    </row>
    <row r="269" ht="25.05" customHeight="1">
      <c r="D269" s="9" t="n"/>
    </row>
    <row r="270" ht="25.05" customHeight="1">
      <c r="D270" s="9" t="n"/>
    </row>
    <row r="271" ht="25.05" customHeight="1">
      <c r="D271" s="9" t="n"/>
    </row>
    <row r="272" ht="25.05" customHeight="1">
      <c r="D272" s="9" t="n"/>
    </row>
    <row r="273" ht="25.05" customHeight="1">
      <c r="D273" s="9" t="n"/>
    </row>
    <row r="274" ht="25.05" customHeight="1">
      <c r="D274" s="9" t="n"/>
    </row>
    <row r="275" ht="25.05" customHeight="1">
      <c r="D275" s="9" t="n"/>
    </row>
    <row r="276" ht="25.05" customHeight="1">
      <c r="D276" s="9" t="n"/>
    </row>
    <row r="277" ht="25.05" customHeight="1">
      <c r="D277" s="9" t="n"/>
    </row>
    <row r="278" ht="25.05" customHeight="1">
      <c r="D278" s="9" t="n"/>
    </row>
    <row r="279" ht="25.05" customHeight="1">
      <c r="D279" s="9" t="n"/>
    </row>
    <row r="280" ht="25.05" customHeight="1">
      <c r="D280" s="9" t="n"/>
    </row>
    <row r="281" ht="25.05" customHeight="1">
      <c r="D281" s="9" t="n"/>
    </row>
    <row r="282" ht="25.05" customHeight="1">
      <c r="D282" s="9" t="n"/>
    </row>
    <row r="283" ht="25.05" customHeight="1">
      <c r="D283" s="9" t="n"/>
    </row>
    <row r="284" ht="25.05" customHeight="1">
      <c r="D284" s="9" t="n"/>
    </row>
    <row r="285" ht="25.05" customHeight="1">
      <c r="D285" s="9" t="n"/>
    </row>
    <row r="286" ht="25.05" customHeight="1">
      <c r="D286" s="9" t="n"/>
    </row>
    <row r="287" ht="25.05" customHeight="1">
      <c r="D287" s="9" t="n"/>
    </row>
    <row r="288" ht="25.05" customHeight="1">
      <c r="D288" s="9" t="n"/>
    </row>
    <row r="289" ht="25.05" customHeight="1">
      <c r="D289" s="9" t="n"/>
    </row>
    <row r="290" ht="25.05" customHeight="1">
      <c r="D290" s="9" t="n"/>
    </row>
    <row r="291" ht="25.05" customHeight="1">
      <c r="D291" s="9" t="n"/>
    </row>
    <row r="292" ht="25.05" customHeight="1">
      <c r="D292" s="9" t="n"/>
    </row>
    <row r="293" ht="25.05" customHeight="1">
      <c r="D293" s="9" t="n"/>
    </row>
    <row r="294" ht="25.05" customHeight="1">
      <c r="D294" s="9" t="n"/>
    </row>
    <row r="295" ht="25.05" customHeight="1">
      <c r="D295" s="9" t="n"/>
    </row>
    <row r="296" ht="25.05" customHeight="1">
      <c r="D296" s="9" t="n"/>
    </row>
    <row r="297" ht="25.05" customHeight="1">
      <c r="D297" s="9" t="n"/>
    </row>
    <row r="298" ht="25.05" customHeight="1">
      <c r="D298" s="9" t="n"/>
    </row>
    <row r="299" ht="25.05" customHeight="1">
      <c r="D299" s="9" t="n"/>
    </row>
    <row r="300" ht="25.05" customHeight="1">
      <c r="D300" s="9" t="n"/>
    </row>
    <row r="301" ht="25.05" customHeight="1">
      <c r="D301" s="9" t="n"/>
    </row>
    <row r="302" ht="25.05" customHeight="1">
      <c r="D302" s="9" t="n"/>
    </row>
    <row r="303" ht="25.05" customHeight="1">
      <c r="D303" s="9" t="n"/>
    </row>
    <row r="304" ht="25.05" customHeight="1">
      <c r="D304" s="9" t="n"/>
    </row>
    <row r="305" ht="25.05" customHeight="1">
      <c r="D305" s="9" t="n"/>
    </row>
    <row r="306" ht="25.05" customHeight="1">
      <c r="D306" s="9" t="n"/>
    </row>
    <row r="307" ht="25.05" customHeight="1">
      <c r="D307" s="9" t="n"/>
    </row>
    <row r="308" ht="25.05" customHeight="1">
      <c r="D308" s="9" t="n"/>
    </row>
    <row r="309" ht="25.05" customHeight="1">
      <c r="D309" s="9" t="n"/>
    </row>
    <row r="310" ht="25.05" customHeight="1">
      <c r="D310" s="9" t="n"/>
    </row>
    <row r="311" ht="25.05" customHeight="1">
      <c r="D311" s="9" t="n"/>
    </row>
    <row r="312" ht="25.05" customHeight="1">
      <c r="D312" s="9" t="n"/>
    </row>
    <row r="313" ht="25.05" customHeight="1">
      <c r="D313" s="9" t="n"/>
    </row>
    <row r="314" ht="25.05" customHeight="1">
      <c r="D314" s="9" t="n"/>
    </row>
    <row r="315" ht="25.05" customHeight="1">
      <c r="D315" s="9" t="n"/>
    </row>
    <row r="316" ht="25.05" customHeight="1">
      <c r="D316" s="9" t="n"/>
    </row>
    <row r="317" ht="25.05" customHeight="1">
      <c r="D317" s="9" t="n"/>
    </row>
    <row r="318" ht="25.05" customHeight="1">
      <c r="D318" s="9" t="n"/>
    </row>
    <row r="319" ht="25.05" customHeight="1">
      <c r="D319" s="9" t="n"/>
    </row>
    <row r="320" ht="25.05" customHeight="1">
      <c r="D320" s="9" t="n"/>
    </row>
    <row r="321" ht="25.05" customHeight="1">
      <c r="D321" s="9" t="n"/>
    </row>
    <row r="322" ht="25.05" customHeight="1">
      <c r="D322" s="9" t="n"/>
    </row>
    <row r="323" ht="25.05" customHeight="1">
      <c r="D323" s="9" t="n"/>
    </row>
    <row r="324" ht="25.05" customHeight="1">
      <c r="D324" s="9" t="n"/>
    </row>
    <row r="325" ht="25.05" customHeight="1">
      <c r="D325" s="9" t="n"/>
    </row>
    <row r="326" ht="25.05" customHeight="1">
      <c r="D326" s="9" t="n"/>
    </row>
    <row r="327" ht="25.05" customHeight="1">
      <c r="D327" s="9" t="n"/>
    </row>
    <row r="328" ht="25.05" customHeight="1">
      <c r="D328" s="9" t="n"/>
    </row>
    <row r="329" ht="25.05" customHeight="1">
      <c r="D329" s="9" t="n"/>
    </row>
    <row r="330" ht="25.05" customHeight="1">
      <c r="D330" s="9" t="n"/>
    </row>
    <row r="331" ht="25.05" customHeight="1">
      <c r="D331" s="9" t="n"/>
    </row>
    <row r="332" ht="25.05" customHeight="1">
      <c r="D332" s="9" t="n"/>
    </row>
    <row r="333" ht="25.05" customHeight="1">
      <c r="D333" s="9" t="n"/>
    </row>
    <row r="334" ht="25.05" customHeight="1">
      <c r="D334" s="9" t="n"/>
    </row>
    <row r="335" ht="25.05" customHeight="1">
      <c r="D335" s="9" t="n"/>
    </row>
    <row r="336" ht="25.05" customHeight="1">
      <c r="D336" s="9" t="n"/>
    </row>
    <row r="337" ht="25.05" customHeight="1">
      <c r="D337" s="9" t="n"/>
    </row>
    <row r="338" ht="25.05" customHeight="1">
      <c r="D338" s="9" t="n"/>
    </row>
    <row r="339" ht="25.05" customHeight="1">
      <c r="D339" s="9" t="n"/>
    </row>
    <row r="340" ht="25.05" customHeight="1">
      <c r="D340" s="9" t="n"/>
    </row>
    <row r="341" ht="25.05" customHeight="1">
      <c r="D341" s="9" t="n"/>
    </row>
    <row r="342" ht="25.05" customHeight="1">
      <c r="D342" s="9" t="n"/>
    </row>
    <row r="343" ht="25.05" customHeight="1">
      <c r="D343" s="9" t="n"/>
    </row>
    <row r="344" ht="25.05" customHeight="1">
      <c r="D344" s="9" t="n"/>
    </row>
    <row r="345" ht="25.05" customHeight="1">
      <c r="D345" s="9" t="n"/>
    </row>
    <row r="346" ht="25.05" customHeight="1">
      <c r="D346" s="9" t="n"/>
    </row>
    <row r="347" ht="25.05" customHeight="1">
      <c r="D347" s="9" t="n"/>
    </row>
    <row r="348" ht="25.05" customHeight="1">
      <c r="D348" s="9" t="n"/>
    </row>
    <row r="349" ht="25.05" customHeight="1">
      <c r="D349" s="9" t="n"/>
    </row>
    <row r="350" ht="25.05" customHeight="1">
      <c r="D350" s="9" t="n"/>
    </row>
    <row r="351" ht="25.05" customHeight="1">
      <c r="D351" s="9" t="n"/>
    </row>
    <row r="352" ht="25.05" customHeight="1">
      <c r="D352" s="9" t="n"/>
    </row>
    <row r="353" ht="25.05" customHeight="1">
      <c r="D353" s="9" t="n"/>
    </row>
    <row r="354" ht="25.05" customHeight="1">
      <c r="D354" s="9" t="n"/>
    </row>
    <row r="355" ht="25.05" customHeight="1">
      <c r="D355" s="9" t="n"/>
    </row>
    <row r="356" ht="25.05" customHeight="1">
      <c r="D356" s="9" t="n"/>
    </row>
    <row r="357" ht="25.05" customHeight="1">
      <c r="D357" s="9" t="n"/>
    </row>
    <row r="358" ht="25.05" customHeight="1">
      <c r="D358" s="9" t="n"/>
    </row>
    <row r="359" ht="25.05" customHeight="1">
      <c r="D359" s="9" t="n"/>
    </row>
    <row r="360" ht="25.05" customHeight="1">
      <c r="D360" s="9" t="n"/>
    </row>
    <row r="361" ht="25.05" customHeight="1">
      <c r="D361" s="9" t="n"/>
    </row>
    <row r="362" ht="25.05" customHeight="1">
      <c r="D362" s="9" t="n"/>
    </row>
    <row r="363" ht="25.05" customHeight="1">
      <c r="D363" s="9" t="n"/>
    </row>
    <row r="364" ht="25.05" customHeight="1">
      <c r="D364" s="9" t="n"/>
    </row>
    <row r="365" ht="25.05" customHeight="1">
      <c r="D365" s="9" t="n"/>
    </row>
    <row r="366" ht="25.05" customHeight="1">
      <c r="D366" s="9" t="n"/>
    </row>
    <row r="367" ht="25.05" customHeight="1">
      <c r="D367" s="9" t="n"/>
    </row>
    <row r="368" ht="25.05" customHeight="1">
      <c r="D368" s="9" t="n"/>
    </row>
    <row r="369" ht="25.05" customHeight="1">
      <c r="D369" s="9" t="n"/>
    </row>
    <row r="370" ht="25.05" customHeight="1">
      <c r="D370" s="9" t="n"/>
    </row>
    <row r="371" ht="25.05" customHeight="1">
      <c r="D371" s="9" t="n"/>
    </row>
    <row r="372" ht="25.05" customHeight="1">
      <c r="D372" s="9" t="n"/>
    </row>
    <row r="373" ht="25.05" customHeight="1">
      <c r="D373" s="9" t="n"/>
    </row>
    <row r="374" ht="25.05" customHeight="1">
      <c r="D374" s="9" t="n"/>
    </row>
    <row r="375" ht="25.05" customHeight="1">
      <c r="D375" s="9" t="n"/>
    </row>
    <row r="376" ht="25.05" customHeight="1">
      <c r="D376" s="9" t="n"/>
    </row>
    <row r="377" ht="25.05" customHeight="1">
      <c r="D377" s="9" t="n"/>
    </row>
    <row r="378" ht="25.05" customHeight="1">
      <c r="D378" s="9" t="n"/>
    </row>
    <row r="379" ht="25.05" customHeight="1">
      <c r="D379" s="9" t="n"/>
    </row>
    <row r="380" ht="25.05" customHeight="1">
      <c r="D380" s="9" t="n"/>
    </row>
    <row r="381" ht="25.05" customHeight="1">
      <c r="D381" s="9" t="n"/>
    </row>
    <row r="382" ht="25.05" customHeight="1">
      <c r="D382" s="9" t="n"/>
    </row>
    <row r="383" ht="25.05" customHeight="1">
      <c r="D383" s="9" t="n"/>
    </row>
    <row r="384" ht="25.05" customHeight="1">
      <c r="D384" s="9" t="n"/>
    </row>
    <row r="385" ht="25.05" customHeight="1">
      <c r="D385" s="9" t="n"/>
    </row>
    <row r="386" ht="25.05" customHeight="1">
      <c r="D386" s="9" t="n"/>
    </row>
    <row r="387" ht="25.05" customHeight="1">
      <c r="D387" s="9" t="n"/>
    </row>
    <row r="388" ht="25.05" customHeight="1">
      <c r="D388" s="9" t="n"/>
    </row>
    <row r="389" ht="25.05" customHeight="1">
      <c r="D389" s="9" t="n"/>
    </row>
    <row r="390" ht="25.05" customHeight="1">
      <c r="D390" s="9" t="n"/>
    </row>
    <row r="391" ht="25.05" customHeight="1">
      <c r="D391" s="9" t="n"/>
    </row>
    <row r="392" ht="25.05" customHeight="1">
      <c r="D392" s="9" t="n"/>
    </row>
    <row r="393" ht="25.05" customHeight="1">
      <c r="D393" s="9" t="n"/>
    </row>
    <row r="394" ht="25.05" customHeight="1">
      <c r="D394" s="9" t="n"/>
    </row>
    <row r="395" ht="25.05" customHeight="1">
      <c r="D395" s="9" t="n"/>
    </row>
    <row r="396" ht="25.05" customHeight="1">
      <c r="D396" s="9" t="n"/>
    </row>
    <row r="397" ht="25.05" customHeight="1">
      <c r="D397" s="9" t="n"/>
    </row>
    <row r="398" ht="25.05" customHeight="1">
      <c r="D398" s="9" t="n"/>
    </row>
    <row r="399" ht="25.05" customHeight="1">
      <c r="D399" s="9" t="n"/>
    </row>
    <row r="400" ht="25.05" customHeight="1">
      <c r="D400" s="9" t="n"/>
    </row>
    <row r="401" ht="25.05" customHeight="1">
      <c r="D401" s="9" t="n"/>
    </row>
    <row r="402" ht="25.05" customHeight="1">
      <c r="D402" s="9" t="n"/>
    </row>
    <row r="403" ht="25.05" customHeight="1">
      <c r="D403" s="9" t="n"/>
    </row>
    <row r="404" ht="25.05" customHeight="1">
      <c r="D404" s="9" t="n"/>
    </row>
    <row r="405" ht="25.05" customHeight="1">
      <c r="D405" s="9" t="n"/>
    </row>
    <row r="406" ht="25.05" customHeight="1">
      <c r="D406" s="9" t="n"/>
    </row>
    <row r="407" ht="25.05" customHeight="1">
      <c r="D407" s="9" t="n"/>
    </row>
    <row r="408" ht="25.05" customHeight="1">
      <c r="D408" s="9" t="n"/>
    </row>
    <row r="409" ht="25.05" customHeight="1">
      <c r="D409" s="9" t="n"/>
    </row>
    <row r="410" ht="25.05" customHeight="1">
      <c r="D410" s="9" t="n"/>
    </row>
    <row r="411" ht="25.05" customHeight="1">
      <c r="D411" s="9" t="n"/>
    </row>
    <row r="412" ht="25.05" customHeight="1">
      <c r="D412" s="9" t="n"/>
    </row>
    <row r="413" ht="25.05" customHeight="1">
      <c r="D413" s="9" t="n"/>
    </row>
    <row r="414" ht="25.05" customHeight="1">
      <c r="D414" s="9" t="n"/>
    </row>
    <row r="415" ht="25.05" customHeight="1">
      <c r="D415" s="9" t="n"/>
    </row>
    <row r="416" ht="25.05" customHeight="1">
      <c r="D416" s="9" t="n"/>
    </row>
    <row r="417" ht="25.05" customHeight="1">
      <c r="D417" s="9" t="n"/>
    </row>
    <row r="418" ht="25.05" customHeight="1">
      <c r="D418" s="9" t="n"/>
    </row>
    <row r="419" ht="25.05" customHeight="1">
      <c r="D419" s="9" t="n"/>
    </row>
    <row r="420" ht="25.05" customHeight="1">
      <c r="D420" s="9" t="n"/>
    </row>
    <row r="421" ht="25.05" customHeight="1">
      <c r="D421" s="9" t="n"/>
    </row>
    <row r="422" ht="25.05" customHeight="1">
      <c r="D422" s="9" t="n"/>
    </row>
    <row r="423" ht="25.05" customHeight="1">
      <c r="D423" s="9" t="n"/>
    </row>
    <row r="424" ht="25.05" customHeight="1">
      <c r="D424" s="9" t="n"/>
    </row>
    <row r="425" ht="25.05" customHeight="1">
      <c r="D425" s="9" t="n"/>
    </row>
    <row r="426" ht="25.05" customHeight="1">
      <c r="D426" s="9" t="n"/>
    </row>
    <row r="427" ht="25.05" customHeight="1">
      <c r="D427" s="9" t="n"/>
    </row>
    <row r="428" ht="25.05" customHeight="1">
      <c r="D428" s="9" t="n"/>
    </row>
    <row r="429" ht="25.05" customHeight="1">
      <c r="D429" s="9" t="n"/>
    </row>
    <row r="430" ht="25.05" customHeight="1">
      <c r="D430" s="9" t="n"/>
    </row>
    <row r="431" ht="25.05" customHeight="1">
      <c r="D431" s="9" t="n"/>
    </row>
    <row r="432" ht="25.05" customHeight="1">
      <c r="D432" s="9" t="n"/>
    </row>
    <row r="433" ht="25.05" customHeight="1">
      <c r="D433" s="9" t="n"/>
    </row>
    <row r="434" ht="25.05" customHeight="1">
      <c r="D434" s="9" t="n"/>
    </row>
    <row r="435" ht="25.05" customHeight="1">
      <c r="D435" s="9" t="n"/>
    </row>
    <row r="436" ht="25.05" customHeight="1">
      <c r="D436" s="9" t="n"/>
    </row>
    <row r="437" ht="25.05" customHeight="1">
      <c r="D437" s="9" t="n"/>
    </row>
    <row r="438" ht="25.05" customHeight="1">
      <c r="D438" s="9" t="n"/>
    </row>
    <row r="439" ht="25.05" customHeight="1">
      <c r="D439" s="9" t="n"/>
    </row>
    <row r="440" ht="25.05" customHeight="1">
      <c r="D440" s="9" t="n"/>
    </row>
    <row r="441" ht="25.05" customHeight="1">
      <c r="D441" s="9" t="n"/>
    </row>
    <row r="442" ht="25.05" customHeight="1">
      <c r="D442" s="9" t="n"/>
    </row>
    <row r="443" ht="25.05" customHeight="1">
      <c r="D443" s="9" t="n"/>
    </row>
    <row r="444" ht="25.05" customHeight="1">
      <c r="D444" s="9" t="n"/>
    </row>
    <row r="445" ht="25.05" customHeight="1">
      <c r="D445" s="9" t="n"/>
    </row>
    <row r="446" ht="25.05" customHeight="1">
      <c r="D446" s="9" t="n"/>
    </row>
    <row r="447" ht="25.05" customHeight="1">
      <c r="D447" s="9" t="n"/>
    </row>
    <row r="448" ht="25.05" customHeight="1">
      <c r="D448" s="9" t="n"/>
    </row>
    <row r="449" ht="25.05" customHeight="1">
      <c r="D449" s="9" t="n"/>
    </row>
    <row r="450" ht="25.05" customHeight="1">
      <c r="D450" s="9" t="n"/>
    </row>
    <row r="451" ht="25.05" customHeight="1">
      <c r="D451" s="9" t="n"/>
    </row>
    <row r="452" ht="25.05" customHeight="1">
      <c r="D452" s="9" t="n"/>
    </row>
    <row r="453" ht="25.05" customHeight="1">
      <c r="D453" s="9" t="n"/>
    </row>
    <row r="454" ht="25.05" customHeight="1">
      <c r="D454" s="9" t="n"/>
    </row>
    <row r="455" ht="25.05" customHeight="1">
      <c r="D455" s="9" t="n"/>
    </row>
    <row r="456" ht="25.05" customHeight="1">
      <c r="D456" s="9" t="n"/>
    </row>
    <row r="457" ht="25.05" customHeight="1">
      <c r="D457" s="9" t="n"/>
    </row>
    <row r="458" ht="25.05" customHeight="1">
      <c r="D458" s="9" t="n"/>
    </row>
    <row r="459" ht="25.05" customHeight="1">
      <c r="D459" s="9" t="n"/>
    </row>
    <row r="460" ht="25.05" customHeight="1">
      <c r="D460" s="9" t="n"/>
    </row>
    <row r="461" ht="25.05" customHeight="1">
      <c r="D461" s="9" t="n"/>
    </row>
    <row r="462" ht="25.05" customHeight="1">
      <c r="D462" s="9" t="n"/>
    </row>
    <row r="463" ht="25.05" customHeight="1">
      <c r="D463" s="9" t="n"/>
    </row>
    <row r="464" ht="25.05" customHeight="1">
      <c r="D464" s="9" t="n"/>
    </row>
    <row r="465" ht="25.05" customHeight="1">
      <c r="D465" s="9" t="n"/>
    </row>
    <row r="466" ht="25.05" customHeight="1">
      <c r="D466" s="9" t="n"/>
    </row>
    <row r="467" ht="25.05" customHeight="1">
      <c r="D467" s="9" t="n"/>
    </row>
    <row r="468" ht="25.05" customHeight="1">
      <c r="D468" s="9" t="n"/>
    </row>
    <row r="469" ht="25.05" customHeight="1">
      <c r="D469" s="9" t="n"/>
    </row>
    <row r="470" ht="25.05" customHeight="1">
      <c r="D470" s="9" t="n"/>
    </row>
    <row r="471" ht="25.05" customHeight="1">
      <c r="D471" s="9" t="n"/>
    </row>
    <row r="472" ht="25.05" customHeight="1">
      <c r="D472" s="9" t="n"/>
    </row>
    <row r="473" ht="25.05" customHeight="1">
      <c r="D473" s="9" t="n"/>
    </row>
    <row r="474" ht="25.05" customHeight="1">
      <c r="D474" s="9" t="n"/>
    </row>
    <row r="475" ht="25.05" customHeight="1">
      <c r="D475" s="9" t="n"/>
    </row>
    <row r="476" ht="25.05" customHeight="1">
      <c r="D476" s="9" t="n"/>
    </row>
    <row r="477" ht="25.05" customHeight="1">
      <c r="D477" s="9" t="n"/>
    </row>
    <row r="478" ht="25.05" customHeight="1">
      <c r="D478" s="9" t="n"/>
    </row>
    <row r="479" ht="25.05" customHeight="1">
      <c r="D479" s="9" t="n"/>
    </row>
    <row r="480" ht="25.05" customHeight="1">
      <c r="D480" s="9" t="n"/>
    </row>
    <row r="481" ht="25.05" customHeight="1">
      <c r="D481" s="9" t="n"/>
    </row>
    <row r="482" ht="25.05" customHeight="1">
      <c r="D482" s="9" t="n"/>
    </row>
    <row r="483" ht="25.05" customHeight="1">
      <c r="D483" s="9" t="n"/>
    </row>
    <row r="484" ht="25.05" customHeight="1">
      <c r="D484" s="9" t="n"/>
    </row>
    <row r="485" ht="25.05" customHeight="1">
      <c r="D485" s="9" t="n"/>
    </row>
    <row r="486" ht="25.05" customHeight="1">
      <c r="D486" s="9" t="n"/>
    </row>
    <row r="487" ht="25.05" customHeight="1">
      <c r="D487" s="9" t="n"/>
    </row>
    <row r="488" ht="25.05" customHeight="1">
      <c r="D488" s="9" t="n"/>
    </row>
    <row r="489" ht="25.05" customHeight="1">
      <c r="D489" s="9" t="n"/>
    </row>
    <row r="490" ht="25.05" customHeight="1">
      <c r="D490" s="9" t="n"/>
    </row>
    <row r="491" ht="25.05" customHeight="1">
      <c r="D491" s="9" t="n"/>
    </row>
    <row r="492" ht="25.05" customHeight="1">
      <c r="D492" s="9" t="n"/>
    </row>
    <row r="493" ht="25.05" customHeight="1">
      <c r="D493" s="9" t="n"/>
    </row>
    <row r="494" ht="25.05" customHeight="1">
      <c r="D494" s="9" t="n"/>
    </row>
    <row r="495" ht="25.05" customHeight="1">
      <c r="D495" s="9" t="n"/>
    </row>
    <row r="496" ht="25.05" customHeight="1">
      <c r="D496" s="9" t="n"/>
    </row>
    <row r="497" ht="25.05" customHeight="1">
      <c r="D497" s="9" t="n"/>
    </row>
    <row r="498" ht="25.05" customHeight="1">
      <c r="D498" s="9" t="n"/>
    </row>
    <row r="499" ht="25.05" customHeight="1">
      <c r="D499" s="9" t="n"/>
    </row>
    <row r="500" ht="25.05" customHeight="1">
      <c r="D500" s="9" t="n"/>
    </row>
    <row r="501" ht="25.05" customHeight="1">
      <c r="D501" s="9" t="n"/>
    </row>
    <row r="502" ht="25.05" customHeight="1">
      <c r="D502" s="9" t="n"/>
    </row>
    <row r="503" ht="25.05" customHeight="1">
      <c r="D503" s="9" t="n"/>
    </row>
    <row r="504" ht="25.05" customHeight="1">
      <c r="D504" s="9" t="n"/>
    </row>
    <row r="505" ht="25.05" customHeight="1">
      <c r="D505" s="9" t="n"/>
    </row>
    <row r="506" ht="25.05" customHeight="1">
      <c r="D506" s="9" t="n"/>
    </row>
    <row r="507" ht="25.05" customHeight="1">
      <c r="D507" s="9" t="n"/>
    </row>
    <row r="508" ht="25.05" customHeight="1">
      <c r="D508" s="9" t="n"/>
    </row>
    <row r="509" ht="25.05" customHeight="1">
      <c r="D509" s="9" t="n"/>
    </row>
    <row r="510" ht="25.05" customHeight="1">
      <c r="D510" s="9" t="n"/>
    </row>
    <row r="511" ht="25.05" customHeight="1">
      <c r="D511" s="9" t="n"/>
    </row>
    <row r="512" ht="25.05" customHeight="1">
      <c r="D512" s="9" t="n"/>
    </row>
    <row r="513" ht="25.05" customHeight="1">
      <c r="D513" s="9" t="n"/>
    </row>
    <row r="514" ht="25.05" customHeight="1">
      <c r="D514" s="9" t="n"/>
    </row>
    <row r="515" ht="25.05" customHeight="1">
      <c r="D515" s="9" t="n"/>
    </row>
    <row r="516" ht="25.05" customHeight="1">
      <c r="D516" s="9" t="n"/>
    </row>
    <row r="517" ht="25.05" customHeight="1">
      <c r="D517" s="9" t="n"/>
    </row>
    <row r="518" ht="25.05" customHeight="1">
      <c r="D518" s="9" t="n"/>
    </row>
    <row r="519" ht="25.05" customHeight="1">
      <c r="D519" s="9" t="n"/>
    </row>
    <row r="520" ht="25.05" customHeight="1">
      <c r="D520" s="9" t="n"/>
    </row>
    <row r="521" ht="25.05" customHeight="1">
      <c r="D521" s="9" t="n"/>
    </row>
    <row r="522" ht="25.05" customHeight="1">
      <c r="D522" s="9" t="n"/>
    </row>
    <row r="523" ht="25.05" customHeight="1">
      <c r="D523" s="9" t="n"/>
    </row>
    <row r="524" ht="25.05" customHeight="1">
      <c r="D524" s="9" t="n"/>
    </row>
    <row r="525" ht="25.05" customHeight="1">
      <c r="D525" s="9" t="n"/>
    </row>
    <row r="526" ht="25.05" customHeight="1">
      <c r="D526" s="9" t="n"/>
    </row>
    <row r="527" ht="25.05" customHeight="1">
      <c r="D527" s="9" t="n"/>
    </row>
    <row r="528" ht="25.05" customHeight="1">
      <c r="D528" s="9" t="n"/>
    </row>
    <row r="529" ht="25.05" customHeight="1">
      <c r="D529" s="9" t="n"/>
    </row>
    <row r="530" ht="25.05" customHeight="1">
      <c r="D530" s="9" t="n"/>
    </row>
    <row r="531" ht="25.05" customHeight="1">
      <c r="D531" s="9" t="n"/>
    </row>
    <row r="532" ht="25.05" customHeight="1">
      <c r="D532" s="9" t="n"/>
    </row>
    <row r="533" ht="25.05" customHeight="1">
      <c r="D533" s="9" t="n"/>
    </row>
    <row r="534" ht="25.05" customHeight="1">
      <c r="D534" s="9" t="n"/>
    </row>
    <row r="535" ht="25.05" customHeight="1">
      <c r="D535" s="9" t="n"/>
    </row>
    <row r="536" ht="25.05" customHeight="1">
      <c r="D536" s="9" t="n"/>
    </row>
    <row r="537" ht="25.05" customHeight="1">
      <c r="D537" s="9" t="n"/>
    </row>
    <row r="538" ht="25.05" customHeight="1">
      <c r="D538" s="9" t="n"/>
    </row>
    <row r="539" ht="25.05" customHeight="1">
      <c r="D539" s="9" t="n"/>
    </row>
    <row r="540" ht="25.05" customHeight="1">
      <c r="D540" s="9" t="n"/>
    </row>
    <row r="541" ht="25.05" customHeight="1">
      <c r="D541" s="9" t="n"/>
    </row>
    <row r="542" ht="25.05" customHeight="1">
      <c r="D542" s="9" t="n"/>
    </row>
    <row r="543" ht="25.05" customHeight="1">
      <c r="D543" s="9" t="n"/>
    </row>
    <row r="544" ht="25.05" customHeight="1">
      <c r="D544" s="9" t="n"/>
    </row>
    <row r="545" ht="25.05" customHeight="1">
      <c r="D545" s="9" t="n"/>
    </row>
    <row r="546" ht="25.05" customHeight="1">
      <c r="D546" s="9" t="n"/>
    </row>
    <row r="547" ht="25.05" customHeight="1">
      <c r="D547" s="9" t="n"/>
    </row>
    <row r="548" ht="25.05" customHeight="1">
      <c r="D548" s="9" t="n"/>
    </row>
    <row r="549" ht="25.05" customHeight="1">
      <c r="D549" s="9" t="n"/>
    </row>
    <row r="550" ht="25.05" customHeight="1">
      <c r="D550" s="9" t="n"/>
    </row>
    <row r="551" ht="25.05" customHeight="1">
      <c r="D551" s="9" t="n"/>
    </row>
    <row r="552" ht="25.05" customHeight="1">
      <c r="D552" s="9" t="n"/>
    </row>
    <row r="553" ht="25.05" customHeight="1">
      <c r="D553" s="9" t="n"/>
    </row>
    <row r="554" ht="25.05" customHeight="1">
      <c r="D554" s="9" t="n"/>
    </row>
    <row r="555" ht="25.05" customHeight="1">
      <c r="D555" s="9" t="n"/>
    </row>
    <row r="556" ht="25.05" customHeight="1">
      <c r="D556" s="9" t="n"/>
    </row>
    <row r="557" ht="25.05" customHeight="1">
      <c r="D557" s="9" t="n"/>
    </row>
    <row r="558" ht="25.05" customHeight="1">
      <c r="D558" s="9" t="n"/>
    </row>
    <row r="559" ht="25.05" customHeight="1">
      <c r="D559" s="9" t="n"/>
    </row>
    <row r="560" ht="25.05" customHeight="1">
      <c r="D560" s="9" t="n"/>
    </row>
    <row r="561" ht="25.05" customHeight="1">
      <c r="D561" s="9" t="n"/>
    </row>
    <row r="562" ht="25.05" customHeight="1">
      <c r="D562" s="9" t="n"/>
    </row>
    <row r="563" ht="25.05" customHeight="1">
      <c r="D563" s="9" t="n"/>
    </row>
    <row r="564" ht="25.05" customHeight="1">
      <c r="D564" s="9" t="n"/>
    </row>
    <row r="565" ht="25.05" customHeight="1">
      <c r="D565" s="9" t="n"/>
    </row>
    <row r="566" ht="25.05" customHeight="1">
      <c r="D566" s="9" t="n"/>
    </row>
    <row r="567" ht="25.05" customHeight="1">
      <c r="D567" s="9" t="n"/>
    </row>
    <row r="568" ht="25.05" customHeight="1">
      <c r="D568" s="9" t="n"/>
    </row>
    <row r="569" ht="25.05" customHeight="1">
      <c r="D569" s="9" t="n"/>
    </row>
    <row r="570" ht="25.05" customHeight="1">
      <c r="D570" s="9" t="n"/>
    </row>
    <row r="571" ht="25.05" customHeight="1">
      <c r="D571" s="9" t="n"/>
    </row>
    <row r="572" ht="25.05" customHeight="1">
      <c r="D572" s="9" t="n"/>
    </row>
    <row r="573" ht="25.05" customHeight="1">
      <c r="D573" s="9" t="n"/>
    </row>
    <row r="574" ht="25.05" customHeight="1">
      <c r="D574" s="9" t="n"/>
    </row>
    <row r="575" ht="25.05" customHeight="1">
      <c r="D575" s="9" t="n"/>
    </row>
    <row r="576" ht="25.05" customHeight="1">
      <c r="D576" s="9" t="n"/>
    </row>
    <row r="577" ht="25.05" customHeight="1">
      <c r="D577" s="9" t="n"/>
    </row>
    <row r="578" ht="25.05" customHeight="1">
      <c r="D578" s="9" t="n"/>
    </row>
    <row r="579" ht="25.05" customHeight="1">
      <c r="D579" s="9" t="n"/>
    </row>
    <row r="580" ht="25.05" customHeight="1">
      <c r="D580" s="9" t="n"/>
    </row>
    <row r="581" ht="25.05" customHeight="1">
      <c r="D581" s="9" t="n"/>
    </row>
    <row r="582" ht="25.05" customHeight="1">
      <c r="D582" s="9" t="n"/>
    </row>
    <row r="583" ht="25.05" customHeight="1">
      <c r="D583" s="9" t="n"/>
    </row>
    <row r="584" ht="25.05" customHeight="1">
      <c r="D584" s="9" t="n"/>
    </row>
    <row r="585" ht="25.05" customHeight="1">
      <c r="D585" s="9" t="n"/>
    </row>
    <row r="586" ht="25.05" customHeight="1">
      <c r="D586" s="9" t="n"/>
    </row>
    <row r="587" ht="25.05" customHeight="1">
      <c r="D587" s="9" t="n"/>
    </row>
    <row r="588" ht="25.05" customHeight="1">
      <c r="D588" s="9" t="n"/>
    </row>
    <row r="589" ht="25.05" customHeight="1">
      <c r="D589" s="9" t="n"/>
    </row>
    <row r="590" ht="25.05" customHeight="1">
      <c r="D590" s="9" t="n"/>
    </row>
    <row r="591" ht="25.05" customHeight="1">
      <c r="D591" s="9" t="n"/>
    </row>
    <row r="592" ht="25.05" customHeight="1">
      <c r="D592" s="9" t="n"/>
    </row>
    <row r="593" ht="25.05" customHeight="1">
      <c r="D593" s="9" t="n"/>
    </row>
    <row r="594" ht="25.05" customHeight="1">
      <c r="D594" s="9" t="n"/>
    </row>
    <row r="595" ht="25.05" customHeight="1">
      <c r="D595" s="9" t="n"/>
    </row>
    <row r="596" ht="25.05" customHeight="1">
      <c r="D596" s="9" t="n"/>
    </row>
    <row r="597" ht="25.05" customHeight="1">
      <c r="D597" s="9" t="n"/>
    </row>
    <row r="598" ht="25.05" customHeight="1">
      <c r="D598" s="9" t="n"/>
    </row>
    <row r="599" ht="25.05" customHeight="1">
      <c r="D599" s="9" t="n"/>
    </row>
    <row r="600" ht="25.05" customHeight="1">
      <c r="D600" s="9" t="n"/>
    </row>
    <row r="601" ht="25.05" customHeight="1">
      <c r="D601" s="9" t="n"/>
    </row>
    <row r="602" ht="25.05" customHeight="1">
      <c r="D602" s="9" t="n"/>
    </row>
    <row r="603" ht="25.05" customHeight="1">
      <c r="D603" s="9" t="n"/>
    </row>
    <row r="604" ht="25.05" customHeight="1">
      <c r="D604" s="9" t="n"/>
    </row>
    <row r="605" ht="25.05" customHeight="1">
      <c r="D605" s="9" t="n"/>
    </row>
    <row r="606" ht="25.05" customHeight="1">
      <c r="D606" s="9" t="n"/>
    </row>
    <row r="607" ht="25.05" customHeight="1">
      <c r="D607" s="9" t="n"/>
    </row>
    <row r="608" ht="25.05" customHeight="1">
      <c r="D608" s="9" t="n"/>
    </row>
    <row r="609" ht="25.05" customHeight="1">
      <c r="D609" s="9" t="n"/>
    </row>
    <row r="610" ht="25.05" customHeight="1">
      <c r="D610" s="9" t="n"/>
    </row>
    <row r="611" ht="25.05" customHeight="1">
      <c r="D611" s="9" t="n"/>
    </row>
    <row r="612" ht="25.05" customHeight="1">
      <c r="D612" s="9" t="n"/>
    </row>
    <row r="613" ht="25.05" customHeight="1">
      <c r="D613" s="9" t="n"/>
    </row>
    <row r="614" ht="25.05" customHeight="1">
      <c r="D614" s="9" t="n"/>
    </row>
    <row r="615" ht="25.05" customHeight="1">
      <c r="D615" s="9" t="n"/>
    </row>
    <row r="616" ht="25.05" customHeight="1">
      <c r="D616" s="9" t="n"/>
    </row>
    <row r="617" ht="25.05" customHeight="1">
      <c r="D617" s="9" t="n"/>
    </row>
    <row r="618" ht="25.05" customHeight="1">
      <c r="D618" s="9" t="n"/>
    </row>
    <row r="619" ht="25.05" customHeight="1">
      <c r="D619" s="9" t="n"/>
    </row>
    <row r="620" ht="25.05" customHeight="1">
      <c r="D620" s="9" t="n"/>
    </row>
    <row r="621" ht="25.05" customHeight="1">
      <c r="D621" s="9" t="n"/>
    </row>
    <row r="622" ht="25.05" customHeight="1">
      <c r="D622" s="9" t="n"/>
    </row>
    <row r="623" ht="25.05" customHeight="1">
      <c r="D623" s="9" t="n"/>
    </row>
    <row r="624" ht="25.05" customHeight="1">
      <c r="D624" s="9" t="n"/>
    </row>
    <row r="625" ht="25.05" customHeight="1">
      <c r="D625" s="9" t="n"/>
    </row>
    <row r="626" ht="25.05" customHeight="1">
      <c r="D626" s="9" t="n"/>
    </row>
    <row r="627" ht="25.05" customHeight="1">
      <c r="D627" s="9" t="n"/>
    </row>
    <row r="628" ht="25.05" customHeight="1">
      <c r="D628" s="9" t="n"/>
    </row>
    <row r="629" ht="25.05" customHeight="1">
      <c r="D629" s="9" t="n"/>
    </row>
    <row r="630" ht="25.05" customHeight="1">
      <c r="D630" s="9" t="n"/>
    </row>
    <row r="631" ht="25.05" customHeight="1">
      <c r="D631" s="9" t="n"/>
    </row>
    <row r="632" ht="25.05" customHeight="1">
      <c r="D632" s="9" t="n"/>
    </row>
    <row r="633" ht="25.05" customHeight="1">
      <c r="D633" s="9" t="n"/>
    </row>
    <row r="634" ht="25.05" customHeight="1">
      <c r="D634" s="9" t="n"/>
    </row>
    <row r="635" ht="25.05" customHeight="1">
      <c r="D635" s="9" t="n"/>
    </row>
    <row r="636" ht="25.05" customHeight="1">
      <c r="D636" s="9" t="n"/>
    </row>
    <row r="637" ht="25.05" customHeight="1">
      <c r="D637" s="9" t="n"/>
    </row>
    <row r="638" ht="25.05" customHeight="1">
      <c r="D638" s="9" t="n"/>
    </row>
    <row r="639" ht="25.05" customHeight="1">
      <c r="D639" s="9" t="n"/>
    </row>
    <row r="640" ht="25.05" customHeight="1">
      <c r="D640" s="9" t="n"/>
    </row>
    <row r="641" ht="25.05" customHeight="1">
      <c r="D641" s="9" t="n"/>
    </row>
    <row r="642" ht="25.05" customHeight="1">
      <c r="D642" s="9" t="n"/>
    </row>
    <row r="643" ht="25.05" customHeight="1">
      <c r="D643" s="9" t="n"/>
    </row>
    <row r="644" ht="25.05" customHeight="1">
      <c r="D644" s="9" t="n"/>
    </row>
    <row r="645" ht="25.05" customHeight="1">
      <c r="D645" s="9" t="n"/>
    </row>
    <row r="646" ht="25.05" customHeight="1">
      <c r="D646" s="9" t="n"/>
    </row>
    <row r="647" ht="25.05" customHeight="1">
      <c r="D647" s="9" t="n"/>
    </row>
    <row r="648" ht="25.05" customHeight="1">
      <c r="D648" s="9" t="n"/>
    </row>
    <row r="649" ht="25.05" customHeight="1">
      <c r="D649" s="9" t="n"/>
    </row>
    <row r="650" ht="25.05" customHeight="1">
      <c r="D650" s="9" t="n"/>
    </row>
    <row r="651" ht="25.05" customHeight="1">
      <c r="D651" s="9" t="n"/>
    </row>
    <row r="652" ht="25.05" customHeight="1">
      <c r="D652" s="9" t="n"/>
    </row>
    <row r="653" ht="25.05" customHeight="1">
      <c r="D653" s="9" t="n"/>
    </row>
    <row r="654" ht="25.05" customHeight="1">
      <c r="D654" s="9" t="n"/>
    </row>
    <row r="655" ht="25.05" customHeight="1">
      <c r="D655" s="9" t="n"/>
    </row>
    <row r="656" ht="25.05" customHeight="1">
      <c r="D656" s="9" t="n"/>
    </row>
    <row r="657" ht="25.05" customHeight="1">
      <c r="D657" s="9" t="n"/>
    </row>
    <row r="658" ht="25.05" customHeight="1">
      <c r="D658" s="9" t="n"/>
    </row>
    <row r="659" ht="25.05" customHeight="1">
      <c r="D659" s="9" t="n"/>
    </row>
    <row r="660" ht="25.05" customHeight="1">
      <c r="D660" s="9" t="n"/>
    </row>
    <row r="661" ht="25.05" customHeight="1">
      <c r="D661" s="9" t="n"/>
    </row>
    <row r="662" ht="25.05" customHeight="1">
      <c r="D662" s="9" t="n"/>
    </row>
    <row r="663" ht="25.05" customHeight="1">
      <c r="D663" s="9" t="n"/>
    </row>
    <row r="664" ht="25.05" customHeight="1">
      <c r="D664" s="9" t="n"/>
    </row>
    <row r="665" ht="25.05" customHeight="1">
      <c r="D665" s="9" t="n"/>
    </row>
    <row r="666" ht="25.05" customHeight="1">
      <c r="D666" s="9" t="n"/>
    </row>
    <row r="667" ht="25.05" customHeight="1">
      <c r="D667" s="9" t="n"/>
    </row>
    <row r="668" ht="25.05" customHeight="1">
      <c r="D668" s="9" t="n"/>
    </row>
    <row r="669" ht="25.05" customHeight="1">
      <c r="D669" s="9" t="n"/>
    </row>
    <row r="670" ht="25.05" customHeight="1">
      <c r="D670" s="9" t="n"/>
    </row>
    <row r="671" ht="25.05" customHeight="1">
      <c r="D671" s="9" t="n"/>
    </row>
    <row r="672" ht="25.05" customHeight="1">
      <c r="D672" s="9" t="n"/>
    </row>
    <row r="673" ht="25.05" customHeight="1">
      <c r="D673" s="9" t="n"/>
    </row>
    <row r="674" ht="25.05" customHeight="1">
      <c r="D674" s="9" t="n"/>
    </row>
    <row r="675" ht="25.05" customHeight="1">
      <c r="D675" s="9" t="n"/>
    </row>
    <row r="676" ht="25.05" customHeight="1">
      <c r="D676" s="9" t="n"/>
    </row>
    <row r="677" ht="25.05" customHeight="1">
      <c r="D677" s="9" t="n"/>
    </row>
    <row r="678" ht="25.05" customHeight="1">
      <c r="D678" s="9" t="n"/>
    </row>
    <row r="679" ht="25.05" customHeight="1">
      <c r="D679" s="9" t="n"/>
    </row>
    <row r="680" ht="25.05" customHeight="1">
      <c r="D680" s="9" t="n"/>
    </row>
    <row r="681" ht="25.05" customHeight="1">
      <c r="D681" s="9" t="n"/>
    </row>
    <row r="682" ht="25.05" customHeight="1">
      <c r="D682" s="9" t="n"/>
    </row>
    <row r="683" ht="25.05" customHeight="1">
      <c r="D683" s="9" t="n"/>
    </row>
    <row r="684" ht="25.05" customHeight="1">
      <c r="D684" s="9" t="n"/>
    </row>
    <row r="685" ht="25.05" customHeight="1">
      <c r="D685" s="9" t="n"/>
    </row>
    <row r="686" ht="25.05" customHeight="1">
      <c r="D686" s="9" t="n"/>
    </row>
    <row r="687" ht="25.05" customHeight="1">
      <c r="D687" s="9" t="n"/>
    </row>
    <row r="688" ht="25.05" customHeight="1">
      <c r="D688" s="9" t="n"/>
    </row>
    <row r="689" ht="25.05" customHeight="1">
      <c r="D689" s="9" t="n"/>
    </row>
    <row r="690" ht="25.05" customHeight="1">
      <c r="D690" s="9" t="n"/>
    </row>
    <row r="691" ht="25.05" customHeight="1">
      <c r="D691" s="9" t="n"/>
    </row>
    <row r="692" ht="25.05" customHeight="1">
      <c r="D692" s="9" t="n"/>
    </row>
    <row r="693" ht="25.05" customHeight="1">
      <c r="D693" s="9" t="n"/>
    </row>
    <row r="694" ht="25.05" customHeight="1">
      <c r="D694" s="9" t="n"/>
    </row>
    <row r="695" ht="25.05" customHeight="1">
      <c r="D695" s="9" t="n"/>
    </row>
    <row r="696" ht="25.05" customHeight="1">
      <c r="D696" s="9" t="n"/>
    </row>
    <row r="697" ht="25.05" customHeight="1">
      <c r="D697" s="9" t="n"/>
    </row>
    <row r="698" ht="25.05" customHeight="1">
      <c r="D698" s="9" t="n"/>
    </row>
    <row r="699" ht="25.05" customHeight="1">
      <c r="D699" s="9" t="n"/>
    </row>
    <row r="700" ht="25.05" customHeight="1">
      <c r="D700" s="9" t="n"/>
    </row>
    <row r="701" ht="25.05" customHeight="1">
      <c r="D701" s="9" t="n"/>
    </row>
    <row r="702" ht="25.05" customHeight="1">
      <c r="D702" s="9" t="n"/>
    </row>
    <row r="703" ht="25.05" customHeight="1">
      <c r="D703" s="9" t="n"/>
    </row>
    <row r="704" ht="25.05" customHeight="1">
      <c r="D704" s="9" t="n"/>
    </row>
    <row r="705" ht="25.05" customHeight="1">
      <c r="D705" s="9" t="n"/>
    </row>
    <row r="706" ht="25.05" customHeight="1">
      <c r="D706" s="9" t="n"/>
    </row>
    <row r="707" ht="25.05" customHeight="1">
      <c r="D707" s="9" t="n"/>
    </row>
    <row r="708" ht="25.05" customHeight="1">
      <c r="D708" s="9" t="n"/>
    </row>
    <row r="709" ht="25.05" customHeight="1">
      <c r="D709" s="9" t="n"/>
    </row>
    <row r="710" ht="25.05" customHeight="1">
      <c r="D710" s="9" t="n"/>
    </row>
    <row r="711" ht="25.05" customHeight="1">
      <c r="D711" s="9" t="n"/>
    </row>
    <row r="712" ht="25.05" customHeight="1">
      <c r="D712" s="9" t="n"/>
    </row>
    <row r="713" ht="25.05" customHeight="1">
      <c r="D713" s="9" t="n"/>
    </row>
    <row r="714" ht="25.05" customHeight="1">
      <c r="D714" s="9" t="n"/>
    </row>
    <row r="715" ht="25.05" customHeight="1">
      <c r="D715" s="9" t="n"/>
    </row>
    <row r="716" ht="25.05" customHeight="1">
      <c r="D716" s="9" t="n"/>
    </row>
    <row r="717" ht="25.05" customHeight="1">
      <c r="D717" s="9" t="n"/>
    </row>
    <row r="718" ht="25.05" customHeight="1">
      <c r="D718" s="9" t="n"/>
    </row>
    <row r="719" ht="25.05" customHeight="1">
      <c r="D719" s="9" t="n"/>
    </row>
    <row r="720" ht="25.05" customHeight="1">
      <c r="D720" s="9" t="n"/>
    </row>
    <row r="721" ht="25.05" customHeight="1">
      <c r="D721" s="9" t="n"/>
    </row>
    <row r="722" ht="25.05" customHeight="1">
      <c r="D722" s="9" t="n"/>
    </row>
    <row r="723" ht="25.05" customHeight="1">
      <c r="D723" s="9" t="n"/>
    </row>
    <row r="724" ht="25.05" customHeight="1">
      <c r="D724" s="9" t="n"/>
    </row>
    <row r="725" ht="25.05" customHeight="1">
      <c r="D725" s="9" t="n"/>
    </row>
    <row r="726" ht="25.05" customHeight="1">
      <c r="D726" s="9" t="n"/>
    </row>
    <row r="727" ht="25.05" customHeight="1">
      <c r="D727" s="9" t="n"/>
    </row>
    <row r="728" ht="25.05" customHeight="1">
      <c r="D728" s="9" t="n"/>
    </row>
    <row r="729" ht="25.05" customHeight="1">
      <c r="D729" s="9" t="n"/>
    </row>
    <row r="730" ht="25.05" customHeight="1">
      <c r="D730" s="9" t="n"/>
    </row>
    <row r="731" ht="25.05" customHeight="1">
      <c r="D731" s="9" t="n"/>
    </row>
    <row r="732" ht="25.05" customHeight="1">
      <c r="D732" s="9" t="n"/>
    </row>
    <row r="733" ht="25.05" customHeight="1">
      <c r="D733" s="9" t="n"/>
    </row>
    <row r="734" ht="25.05" customHeight="1">
      <c r="D734" s="9" t="n"/>
    </row>
    <row r="735" ht="25.05" customHeight="1">
      <c r="D735" s="9" t="n"/>
    </row>
    <row r="736" ht="25.05" customHeight="1">
      <c r="D736" s="9" t="n"/>
    </row>
    <row r="737" ht="25.05" customHeight="1">
      <c r="D737" s="9" t="n"/>
    </row>
    <row r="738" ht="25.05" customHeight="1">
      <c r="D738" s="9" t="n"/>
    </row>
    <row r="739" ht="25.05" customHeight="1">
      <c r="D739" s="9" t="n"/>
    </row>
    <row r="740" ht="25.05" customHeight="1">
      <c r="D740" s="9" t="n"/>
    </row>
    <row r="741" ht="25.05" customHeight="1">
      <c r="D741" s="9" t="n"/>
    </row>
    <row r="742" ht="25.05" customHeight="1">
      <c r="D742" s="9" t="n"/>
    </row>
    <row r="743" ht="25.05" customHeight="1">
      <c r="D743" s="9" t="n"/>
    </row>
    <row r="744" ht="25.05" customHeight="1">
      <c r="D744" s="9" t="n"/>
    </row>
    <row r="745" ht="25.05" customHeight="1">
      <c r="D745" s="9" t="n"/>
    </row>
    <row r="746" ht="25.05" customHeight="1">
      <c r="D746" s="9" t="n"/>
    </row>
    <row r="747" ht="25.05" customHeight="1">
      <c r="D747" s="9" t="n"/>
    </row>
    <row r="748" ht="25.05" customHeight="1">
      <c r="D748" s="9" t="n"/>
    </row>
    <row r="749" ht="25.05" customHeight="1">
      <c r="D749" s="9" t="n"/>
    </row>
    <row r="750" ht="25.05" customHeight="1">
      <c r="D750" s="9" t="n"/>
    </row>
    <row r="751" ht="25.05" customHeight="1">
      <c r="D751" s="9" t="n"/>
    </row>
    <row r="752" ht="25.05" customHeight="1">
      <c r="D752" s="9" t="n"/>
    </row>
    <row r="753" ht="25.05" customHeight="1">
      <c r="D753" s="9" t="n"/>
    </row>
    <row r="754" ht="25.05" customHeight="1">
      <c r="D754" s="9" t="n"/>
    </row>
    <row r="755" ht="25.05" customHeight="1">
      <c r="D755" s="9" t="n"/>
    </row>
    <row r="756" ht="25.05" customHeight="1">
      <c r="D756" s="9" t="n"/>
    </row>
    <row r="757" ht="25.05" customHeight="1">
      <c r="D757" s="9" t="n"/>
    </row>
    <row r="758" ht="25.05" customHeight="1">
      <c r="D758" s="9" t="n"/>
    </row>
    <row r="759" ht="25.05" customHeight="1">
      <c r="D759" s="9" t="n"/>
    </row>
    <row r="760" ht="25.05" customHeight="1">
      <c r="D760" s="9" t="n"/>
    </row>
    <row r="761" ht="25.05" customHeight="1">
      <c r="D761" s="9" t="n"/>
    </row>
    <row r="762" ht="25.05" customHeight="1">
      <c r="D762" s="9" t="n"/>
    </row>
    <row r="763" ht="25.05" customHeight="1">
      <c r="D763" s="9" t="n"/>
    </row>
    <row r="764" ht="25.05" customHeight="1">
      <c r="D764" s="9" t="n"/>
    </row>
    <row r="765" ht="25.05" customHeight="1">
      <c r="D765" s="9" t="n"/>
    </row>
    <row r="766" ht="25.05" customHeight="1">
      <c r="D766" s="9" t="n"/>
    </row>
    <row r="767" ht="25.05" customHeight="1">
      <c r="D767" s="9" t="n"/>
    </row>
    <row r="768" ht="25.05" customHeight="1">
      <c r="D768" s="9" t="n"/>
    </row>
    <row r="769" ht="25.05" customHeight="1">
      <c r="D769" s="9" t="n"/>
    </row>
    <row r="770" ht="25.05" customHeight="1">
      <c r="D770" s="9" t="n"/>
    </row>
    <row r="771" ht="25.05" customHeight="1">
      <c r="D771" s="9" t="n"/>
    </row>
    <row r="772" ht="25.05" customHeight="1">
      <c r="D772" s="9" t="n"/>
    </row>
    <row r="773" ht="25.05" customHeight="1">
      <c r="D773" s="9" t="n"/>
    </row>
    <row r="774" ht="25.05" customHeight="1">
      <c r="D774" s="9" t="n"/>
    </row>
    <row r="775" ht="25.05" customHeight="1">
      <c r="D775" s="9" t="n"/>
    </row>
    <row r="776" ht="25.05" customHeight="1">
      <c r="D776" s="9" t="n"/>
    </row>
    <row r="777" ht="25.05" customHeight="1">
      <c r="D777" s="9" t="n"/>
    </row>
    <row r="778" ht="25.05" customHeight="1">
      <c r="D778" s="9" t="n"/>
    </row>
    <row r="779" ht="25.05" customHeight="1">
      <c r="D779" s="9" t="n"/>
    </row>
    <row r="780" ht="25.05" customHeight="1">
      <c r="D780" s="9" t="n"/>
    </row>
    <row r="781" ht="25.05" customHeight="1">
      <c r="D781" s="9" t="n"/>
    </row>
    <row r="782" ht="25.05" customHeight="1">
      <c r="D782" s="9" t="n"/>
    </row>
    <row r="783" ht="25.05" customHeight="1">
      <c r="D783" s="9" t="n"/>
    </row>
    <row r="784" ht="25.05" customHeight="1">
      <c r="D784" s="9" t="n"/>
    </row>
    <row r="785" ht="25.05" customHeight="1">
      <c r="D785" s="9" t="n"/>
    </row>
    <row r="786" ht="25.05" customHeight="1">
      <c r="D786" s="9" t="n"/>
    </row>
    <row r="787" ht="25.05" customHeight="1">
      <c r="D787" s="9" t="n"/>
    </row>
    <row r="788" ht="25.05" customHeight="1">
      <c r="D788" s="9" t="n"/>
    </row>
    <row r="789" ht="25.05" customHeight="1">
      <c r="D789" s="9" t="n"/>
    </row>
    <row r="790" ht="25.05" customHeight="1">
      <c r="D790" s="9" t="n"/>
    </row>
    <row r="791" ht="25.05" customHeight="1">
      <c r="D791" s="9" t="n"/>
    </row>
    <row r="792" ht="25.05" customHeight="1">
      <c r="D792" s="9" t="n"/>
    </row>
    <row r="793" ht="25.05" customHeight="1">
      <c r="D793" s="9" t="n"/>
    </row>
    <row r="794" ht="25.05" customHeight="1">
      <c r="D794" s="9" t="n"/>
    </row>
    <row r="795" ht="25.05" customHeight="1">
      <c r="D795" s="9" t="n"/>
    </row>
    <row r="796" ht="25.05" customHeight="1">
      <c r="D796" s="9" t="n"/>
    </row>
    <row r="797" ht="25.05" customHeight="1">
      <c r="D797" s="9" t="n"/>
    </row>
    <row r="798" ht="25.05" customHeight="1">
      <c r="D798" s="9" t="n"/>
    </row>
    <row r="799" ht="25.05" customHeight="1">
      <c r="D799" s="9" t="n"/>
    </row>
    <row r="800" ht="25.05" customHeight="1">
      <c r="D800" s="9" t="n"/>
    </row>
    <row r="801" ht="25.05" customHeight="1">
      <c r="D801" s="9" t="n"/>
    </row>
    <row r="802" ht="25.05" customHeight="1">
      <c r="D802" s="9" t="n"/>
    </row>
    <row r="803" ht="25.05" customHeight="1">
      <c r="D803" s="9" t="n"/>
    </row>
    <row r="804" ht="25.05" customHeight="1">
      <c r="D804" s="9" t="n"/>
    </row>
    <row r="805" ht="25.05" customHeight="1">
      <c r="D805" s="9" t="n"/>
    </row>
    <row r="806" ht="25.05" customHeight="1">
      <c r="D806" s="9" t="n"/>
    </row>
    <row r="807" ht="25.05" customHeight="1">
      <c r="D807" s="9" t="n"/>
    </row>
    <row r="808" ht="25.05" customHeight="1">
      <c r="D808" s="9" t="n"/>
    </row>
    <row r="809" ht="25.05" customHeight="1">
      <c r="D809" s="9" t="n"/>
    </row>
    <row r="810" ht="25.05" customHeight="1">
      <c r="D810" s="9" t="n"/>
    </row>
    <row r="811" ht="25.05" customHeight="1">
      <c r="D811" s="9" t="n"/>
    </row>
    <row r="812" ht="25.05" customHeight="1">
      <c r="D812" s="9" t="n"/>
    </row>
    <row r="813" ht="25.05" customHeight="1">
      <c r="D813" s="9" t="n"/>
    </row>
    <row r="814" ht="25.05" customHeight="1">
      <c r="D814" s="9" t="n"/>
    </row>
    <row r="815" ht="25.05" customHeight="1">
      <c r="D815" s="9" t="n"/>
    </row>
    <row r="816" ht="25.05" customHeight="1">
      <c r="D816" s="9" t="n"/>
    </row>
    <row r="817" ht="25.05" customHeight="1">
      <c r="D817" s="9" t="n"/>
    </row>
    <row r="818" ht="25.05" customHeight="1">
      <c r="D818" s="9" t="n"/>
    </row>
    <row r="819" ht="25.05" customHeight="1">
      <c r="D819" s="9" t="n"/>
    </row>
    <row r="820" ht="25.05" customHeight="1">
      <c r="D820" s="9" t="n"/>
    </row>
    <row r="821" ht="25.05" customHeight="1">
      <c r="D821" s="9" t="n"/>
    </row>
    <row r="822" ht="25.05" customHeight="1">
      <c r="D822" s="9" t="n"/>
    </row>
    <row r="823" ht="25.05" customHeight="1">
      <c r="D823" s="9" t="n"/>
    </row>
    <row r="824" ht="25.05" customHeight="1">
      <c r="D824" s="9" t="n"/>
    </row>
    <row r="825" ht="25.05" customHeight="1">
      <c r="D825" s="9" t="n"/>
    </row>
    <row r="826" ht="25.05" customHeight="1">
      <c r="D826" s="9" t="n"/>
    </row>
    <row r="827" ht="25.05" customHeight="1">
      <c r="D827" s="9" t="n"/>
    </row>
    <row r="828" ht="25.05" customHeight="1">
      <c r="D828" s="9" t="n"/>
    </row>
    <row r="829" ht="25.05" customHeight="1">
      <c r="D829" s="9" t="n"/>
    </row>
    <row r="830" ht="25.05" customHeight="1">
      <c r="D830" s="9" t="n"/>
    </row>
    <row r="831" ht="25.05" customHeight="1">
      <c r="D831" s="9" t="n"/>
    </row>
    <row r="832" ht="25.05" customHeight="1">
      <c r="D832" s="9" t="n"/>
    </row>
    <row r="833" ht="25.05" customHeight="1">
      <c r="D833" s="9" t="n"/>
    </row>
    <row r="834" ht="25.05" customHeight="1">
      <c r="D834" s="9" t="n"/>
    </row>
    <row r="835" ht="25.05" customHeight="1">
      <c r="D835" s="9" t="n"/>
    </row>
    <row r="836" ht="25.05" customHeight="1">
      <c r="D836" s="9" t="n"/>
    </row>
    <row r="837" ht="25.05" customHeight="1">
      <c r="D837" s="9" t="n"/>
    </row>
    <row r="838" ht="25.05" customHeight="1">
      <c r="D838" s="9" t="n"/>
    </row>
    <row r="839" ht="25.05" customHeight="1">
      <c r="D839" s="9" t="n"/>
    </row>
    <row r="840" ht="25.05" customHeight="1">
      <c r="D840" s="9" t="n"/>
    </row>
    <row r="841" ht="25.05" customHeight="1">
      <c r="D841" s="9" t="n"/>
    </row>
    <row r="842" ht="25.05" customHeight="1">
      <c r="D842" s="9" t="n"/>
    </row>
    <row r="843" ht="25.05" customHeight="1">
      <c r="D843" s="9" t="n"/>
    </row>
    <row r="844" ht="25.05" customHeight="1">
      <c r="D844" s="9" t="n"/>
    </row>
    <row r="845" ht="25.05" customHeight="1">
      <c r="D845" s="9" t="n"/>
    </row>
    <row r="846" ht="25.05" customHeight="1">
      <c r="D846" s="9" t="n"/>
    </row>
    <row r="847" ht="25.05" customHeight="1">
      <c r="D847" s="9" t="n"/>
    </row>
    <row r="848" ht="25.05" customHeight="1">
      <c r="D848" s="9" t="n"/>
    </row>
    <row r="849" ht="25.05" customHeight="1">
      <c r="D849" s="9" t="n"/>
    </row>
    <row r="850" ht="25.05" customHeight="1">
      <c r="D850" s="9" t="n"/>
    </row>
    <row r="851" ht="25.05" customHeight="1">
      <c r="D851" s="9" t="n"/>
    </row>
    <row r="852" ht="25.05" customHeight="1">
      <c r="D852" s="9" t="n"/>
    </row>
    <row r="853" ht="25.05" customHeight="1">
      <c r="D853" s="9" t="n"/>
    </row>
    <row r="854" ht="25.05" customHeight="1">
      <c r="D854" s="9" t="n"/>
    </row>
    <row r="855" ht="25.05" customHeight="1">
      <c r="D855" s="9" t="n"/>
    </row>
    <row r="856" ht="25.05" customHeight="1">
      <c r="D856" s="9" t="n"/>
    </row>
    <row r="857" ht="25.05" customHeight="1">
      <c r="D857" s="9" t="n"/>
    </row>
    <row r="858" ht="25.05" customHeight="1">
      <c r="D858" s="9" t="n"/>
    </row>
    <row r="859" ht="25.05" customHeight="1">
      <c r="D859" s="9" t="n"/>
    </row>
    <row r="860" ht="25.05" customHeight="1">
      <c r="D860" s="9" t="n"/>
    </row>
    <row r="861" ht="25.05" customHeight="1">
      <c r="D861" s="9" t="n"/>
    </row>
    <row r="862" ht="25.05" customHeight="1">
      <c r="D862" s="9" t="n"/>
    </row>
    <row r="863" ht="25.05" customHeight="1">
      <c r="D863" s="9" t="n"/>
    </row>
    <row r="864" ht="25.05" customHeight="1">
      <c r="D864" s="9" t="n"/>
    </row>
    <row r="865" ht="25.05" customHeight="1">
      <c r="D865" s="9" t="n"/>
    </row>
    <row r="866" ht="25.05" customHeight="1">
      <c r="D866" s="9" t="n"/>
    </row>
    <row r="867" ht="25.05" customHeight="1">
      <c r="D867" s="9" t="n"/>
    </row>
    <row r="868" ht="25.05" customHeight="1">
      <c r="D868" s="9" t="n"/>
    </row>
    <row r="869" ht="25.05" customHeight="1">
      <c r="D869" s="9" t="n"/>
    </row>
    <row r="870" ht="25.05" customHeight="1">
      <c r="D870" s="9" t="n"/>
    </row>
    <row r="871" ht="25.05" customHeight="1">
      <c r="D871" s="9" t="n"/>
    </row>
    <row r="872" ht="25.05" customHeight="1">
      <c r="D872" s="9" t="n"/>
    </row>
    <row r="873" ht="25.05" customHeight="1">
      <c r="D873" s="9" t="n"/>
    </row>
    <row r="874" ht="25.05" customHeight="1">
      <c r="D874" s="9" t="n"/>
    </row>
    <row r="875" ht="25.05" customHeight="1">
      <c r="D875" s="9" t="n"/>
    </row>
    <row r="876" ht="25.05" customHeight="1">
      <c r="D876" s="9" t="n"/>
    </row>
    <row r="877" ht="25.05" customHeight="1">
      <c r="D877" s="9" t="n"/>
    </row>
    <row r="878" ht="25.05" customHeight="1">
      <c r="D878" s="9" t="n"/>
    </row>
    <row r="879" ht="25.05" customHeight="1">
      <c r="D879" s="9" t="n"/>
    </row>
    <row r="880" ht="25.05" customHeight="1">
      <c r="D880" s="9" t="n"/>
    </row>
    <row r="881" ht="25.05" customHeight="1">
      <c r="D881" s="9" t="n"/>
    </row>
    <row r="882" ht="25.05" customHeight="1">
      <c r="D882" s="9" t="n"/>
    </row>
    <row r="883" ht="25.05" customHeight="1">
      <c r="D883" s="9" t="n"/>
    </row>
    <row r="884" ht="25.05" customHeight="1">
      <c r="D884" s="9" t="n"/>
    </row>
    <row r="885" ht="25.05" customHeight="1">
      <c r="D885" s="9" t="n"/>
    </row>
    <row r="886" ht="25.05" customHeight="1">
      <c r="D886" s="9" t="n"/>
    </row>
    <row r="887" ht="25.05" customHeight="1">
      <c r="D887" s="9" t="n"/>
    </row>
    <row r="888" ht="25.05" customHeight="1">
      <c r="D888" s="9" t="n"/>
    </row>
    <row r="889" ht="25.05" customHeight="1">
      <c r="D889" s="9" t="n"/>
    </row>
    <row r="890" ht="25.05" customHeight="1">
      <c r="D890" s="9" t="n"/>
    </row>
    <row r="891" ht="25.05" customHeight="1">
      <c r="D891" s="9" t="n"/>
    </row>
    <row r="892" ht="25.05" customHeight="1">
      <c r="D892" s="9" t="n"/>
    </row>
    <row r="893" ht="25.05" customHeight="1">
      <c r="D893" s="9" t="n"/>
    </row>
    <row r="894" ht="25.05" customHeight="1">
      <c r="D894" s="9" t="n"/>
    </row>
    <row r="895" ht="25.05" customHeight="1">
      <c r="D895" s="9" t="n"/>
    </row>
    <row r="896" ht="25.05" customHeight="1">
      <c r="D896" s="9" t="n"/>
    </row>
    <row r="897" ht="25.05" customHeight="1">
      <c r="D897" s="9" t="n"/>
    </row>
    <row r="898" ht="25.05" customHeight="1">
      <c r="D898" s="9" t="n"/>
    </row>
    <row r="899" ht="25.05" customHeight="1">
      <c r="D899" s="9" t="n"/>
    </row>
    <row r="900" ht="25.05" customHeight="1">
      <c r="D900" s="9" t="n"/>
    </row>
    <row r="901" ht="25.05" customHeight="1">
      <c r="D901" s="9" t="n"/>
    </row>
    <row r="902" ht="25.05" customHeight="1">
      <c r="D902" s="9" t="n"/>
    </row>
    <row r="903" ht="25.05" customHeight="1">
      <c r="D903" s="9" t="n"/>
    </row>
    <row r="904" ht="25.05" customHeight="1">
      <c r="D904" s="9" t="n"/>
    </row>
    <row r="905" ht="25.05" customHeight="1">
      <c r="D905" s="9" t="n"/>
    </row>
    <row r="906" ht="25.05" customHeight="1">
      <c r="D906" s="9" t="n"/>
    </row>
    <row r="907" ht="25.05" customHeight="1">
      <c r="D907" s="9" t="n"/>
    </row>
    <row r="908" ht="25.05" customHeight="1">
      <c r="D908" s="9" t="n"/>
    </row>
    <row r="909" ht="25.05" customHeight="1">
      <c r="D909" s="9" t="n"/>
    </row>
    <row r="910" ht="25.05" customHeight="1">
      <c r="D910" s="9" t="n"/>
    </row>
    <row r="911" ht="25.05" customHeight="1">
      <c r="D911" s="9" t="n"/>
    </row>
    <row r="912" ht="25.05" customHeight="1">
      <c r="D912" s="9" t="n"/>
    </row>
    <row r="913" ht="25.05" customHeight="1">
      <c r="D913" s="9" t="n"/>
    </row>
    <row r="914" ht="25.05" customHeight="1">
      <c r="D914" s="9" t="n"/>
    </row>
    <row r="915" ht="25.05" customHeight="1">
      <c r="D915" s="9" t="n"/>
    </row>
    <row r="916" ht="25.05" customHeight="1">
      <c r="D916" s="9" t="n"/>
    </row>
    <row r="917" ht="25.05" customHeight="1">
      <c r="D917" s="9" t="n"/>
    </row>
    <row r="918" ht="25.05" customHeight="1">
      <c r="D918" s="9" t="n"/>
    </row>
    <row r="919" ht="25.05" customHeight="1">
      <c r="D919" s="9" t="n"/>
    </row>
    <row r="920" ht="25.05" customHeight="1">
      <c r="D920" s="9" t="n"/>
    </row>
    <row r="921" ht="25.05" customHeight="1">
      <c r="D921" s="9" t="n"/>
    </row>
    <row r="922" ht="25.05" customHeight="1">
      <c r="D922" s="9" t="n"/>
    </row>
    <row r="923" ht="25.05" customHeight="1">
      <c r="D923" s="9" t="n"/>
    </row>
    <row r="924" ht="25.05" customHeight="1">
      <c r="D924" s="9" t="n"/>
    </row>
    <row r="925" ht="25.05" customHeight="1">
      <c r="D925" s="9" t="n"/>
    </row>
    <row r="926" ht="25.05" customHeight="1">
      <c r="D926" s="9" t="n"/>
    </row>
    <row r="927" ht="25.05" customHeight="1">
      <c r="D927" s="9" t="n"/>
    </row>
    <row r="928" ht="25.05" customHeight="1">
      <c r="D928" s="9" t="n"/>
    </row>
    <row r="929" ht="25.05" customHeight="1">
      <c r="D929" s="9" t="n"/>
    </row>
    <row r="930" ht="25.05" customHeight="1">
      <c r="D930" s="9" t="n"/>
    </row>
    <row r="931" ht="25.05" customHeight="1">
      <c r="D931" s="9" t="n"/>
    </row>
    <row r="932" ht="25.05" customHeight="1">
      <c r="D932" s="9" t="n"/>
    </row>
    <row r="933" ht="25.05" customHeight="1">
      <c r="D933" s="9" t="n"/>
    </row>
    <row r="934" ht="25.05" customHeight="1">
      <c r="D934" s="9" t="n"/>
    </row>
    <row r="935" ht="25.05" customHeight="1">
      <c r="D935" s="9" t="n"/>
    </row>
    <row r="936" ht="25.05" customHeight="1">
      <c r="D936" s="9" t="n"/>
    </row>
    <row r="937" ht="25.05" customHeight="1">
      <c r="D937" s="9" t="n"/>
    </row>
    <row r="938" ht="25.05" customHeight="1">
      <c r="D938" s="9" t="n"/>
    </row>
    <row r="939" ht="25.05" customHeight="1">
      <c r="D939" s="9" t="n"/>
    </row>
    <row r="940" ht="25.05" customHeight="1">
      <c r="D940" s="9" t="n"/>
    </row>
    <row r="941" ht="25.05" customHeight="1">
      <c r="D941" s="9" t="n"/>
    </row>
    <row r="942" ht="25.05" customHeight="1">
      <c r="D942" s="9" t="n"/>
    </row>
    <row r="943" ht="25.05" customHeight="1">
      <c r="D943" s="9" t="n"/>
    </row>
    <row r="944" ht="25.05" customHeight="1">
      <c r="D944" s="9" t="n"/>
    </row>
    <row r="945" ht="25.05" customHeight="1">
      <c r="D945" s="9" t="n"/>
    </row>
    <row r="946" ht="25.05" customHeight="1">
      <c r="D946" s="9" t="n"/>
    </row>
    <row r="947" ht="25.05" customHeight="1">
      <c r="D947" s="9" t="n"/>
    </row>
    <row r="948" ht="25.05" customHeight="1">
      <c r="D948" s="9" t="n"/>
    </row>
    <row r="949" ht="25.05" customHeight="1">
      <c r="D949" s="9" t="n"/>
    </row>
    <row r="950" ht="25.05" customHeight="1">
      <c r="D950" s="9" t="n"/>
    </row>
    <row r="951" ht="25.05" customHeight="1">
      <c r="D951" s="9" t="n"/>
    </row>
    <row r="952" ht="25.05" customHeight="1">
      <c r="D952" s="9" t="n"/>
    </row>
    <row r="953" ht="25.05" customHeight="1">
      <c r="D953" s="9" t="n"/>
    </row>
    <row r="954" ht="25.05" customHeight="1">
      <c r="D954" s="9" t="n"/>
    </row>
    <row r="955" ht="25.05" customHeight="1">
      <c r="D955" s="9" t="n"/>
    </row>
    <row r="956" ht="25.05" customHeight="1">
      <c r="D956" s="9" t="n"/>
    </row>
    <row r="957" ht="25.05" customHeight="1">
      <c r="D957" s="9" t="n"/>
    </row>
    <row r="958" ht="25.05" customHeight="1">
      <c r="D958" s="9" t="n"/>
    </row>
    <row r="959" ht="25.05" customHeight="1">
      <c r="D959" s="9" t="n"/>
    </row>
    <row r="960" ht="25.05" customHeight="1">
      <c r="D960" s="9" t="n"/>
    </row>
    <row r="961" ht="25.05" customHeight="1">
      <c r="D961" s="9" t="n"/>
    </row>
    <row r="962" ht="25.05" customHeight="1">
      <c r="D962" s="9" t="n"/>
    </row>
    <row r="963" ht="25.05" customHeight="1">
      <c r="D963" s="9" t="n"/>
    </row>
    <row r="964" ht="25.05" customHeight="1">
      <c r="D964" s="9" t="n"/>
    </row>
    <row r="965" ht="25.05" customHeight="1">
      <c r="D965" s="9" t="n"/>
    </row>
    <row r="966" ht="25.05" customHeight="1">
      <c r="D966" s="9" t="n"/>
    </row>
    <row r="967" ht="25.05" customHeight="1">
      <c r="D967" s="9" t="n"/>
    </row>
    <row r="968" ht="25.05" customHeight="1">
      <c r="D968" s="9" t="n"/>
    </row>
    <row r="969" ht="25.05" customHeight="1">
      <c r="D969" s="9" t="n"/>
    </row>
    <row r="970" ht="25.05" customHeight="1">
      <c r="D970" s="9" t="n"/>
    </row>
    <row r="971" ht="25.05" customHeight="1">
      <c r="D971" s="9" t="n"/>
    </row>
    <row r="972" ht="25.05" customHeight="1">
      <c r="D972" s="9" t="n"/>
    </row>
    <row r="973" ht="25.05" customHeight="1">
      <c r="D973" s="9" t="n"/>
    </row>
    <row r="974" ht="25.05" customHeight="1">
      <c r="D974" s="9" t="n"/>
    </row>
    <row r="975" ht="25.05" customHeight="1">
      <c r="D975" s="9" t="n"/>
    </row>
    <row r="976" ht="25.05" customHeight="1">
      <c r="D976" s="9" t="n"/>
    </row>
    <row r="977" ht="25.05" customHeight="1">
      <c r="D977" s="9" t="n"/>
    </row>
    <row r="978" ht="25.05" customHeight="1">
      <c r="D978" s="9" t="n"/>
    </row>
    <row r="979" ht="25.05" customHeight="1">
      <c r="D979" s="9" t="n"/>
    </row>
    <row r="980" ht="25.05" customHeight="1">
      <c r="D980" s="9" t="n"/>
    </row>
    <row r="981" ht="25.05" customHeight="1">
      <c r="D981" s="9" t="n"/>
    </row>
    <row r="982" ht="25.05" customHeight="1">
      <c r="D982" s="9" t="n"/>
    </row>
    <row r="983" ht="25.05" customHeight="1">
      <c r="D983" s="9" t="n"/>
    </row>
    <row r="984" ht="25.05" customHeight="1">
      <c r="D984" s="9" t="n"/>
    </row>
    <row r="985" ht="25.05" customHeight="1">
      <c r="D985" s="9" t="n"/>
    </row>
    <row r="986" ht="25.05" customHeight="1">
      <c r="D986" s="9" t="n"/>
    </row>
    <row r="987" ht="25.05" customHeight="1">
      <c r="D987" s="9" t="n"/>
    </row>
    <row r="988" ht="25.05" customHeight="1">
      <c r="D988" s="9" t="n"/>
    </row>
    <row r="989" ht="25.05" customHeight="1">
      <c r="D989" s="9" t="n"/>
    </row>
    <row r="990" ht="25.05" customHeight="1">
      <c r="D990" s="9" t="n"/>
    </row>
    <row r="991" ht="25.05" customHeight="1">
      <c r="D991" s="9" t="n"/>
    </row>
    <row r="992" ht="25.05" customHeight="1">
      <c r="D992" s="9" t="n"/>
    </row>
    <row r="993" ht="25.05" customHeight="1">
      <c r="D993" s="9" t="n"/>
    </row>
    <row r="994" ht="25.05" customHeight="1">
      <c r="D994" s="9" t="n"/>
    </row>
    <row r="995" ht="25.05" customHeight="1">
      <c r="D995" s="9" t="n"/>
    </row>
    <row r="996" ht="25.05" customHeight="1">
      <c r="D996" s="9" t="n"/>
    </row>
    <row r="997" ht="25.05" customHeight="1">
      <c r="D997" s="9" t="n"/>
    </row>
    <row r="998" ht="25.05" customHeight="1">
      <c r="D998" s="9" t="n"/>
    </row>
    <row r="999" ht="25.05" customHeight="1">
      <c r="D999" s="9" t="n"/>
    </row>
    <row r="1000" ht="25.05" customHeight="1">
      <c r="D1000" s="9" t="n"/>
    </row>
    <row r="1001">
      <c r="D1001" s="9" t="n"/>
    </row>
    <row r="1002">
      <c r="D1002" s="9" t="n"/>
    </row>
    <row r="1003">
      <c r="D1003" s="9" t="n"/>
    </row>
    <row r="1004">
      <c r="D1004" s="9" t="n"/>
    </row>
    <row r="1005">
      <c r="D1005" s="9" t="n"/>
    </row>
    <row r="1006">
      <c r="D1006" s="9" t="n"/>
    </row>
    <row r="1007">
      <c r="D1007" s="9" t="n"/>
    </row>
    <row r="1008">
      <c r="D1008" s="9" t="n"/>
    </row>
  </sheetData>
  <autoFilter ref="A6:F6"/>
  <mergeCells count="3">
    <mergeCell ref="AL5:AL6"/>
    <mergeCell ref="AN5:AN6"/>
    <mergeCell ref="AM5:AM6"/>
  </mergeCells>
  <conditionalFormatting sqref="C7:C79">
    <cfRule type="expression" priority="1" dxfId="0">
      <formula>C7&gt;#REF!</formula>
    </cfRule>
  </conditionalFormatting>
  <pageMargins left="0.7" right="0.7" top="0.75" bottom="0.75" header="0" footer="0"/>
  <pageSetup orientation="portrait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2026-07-21T17:16:59Z</dcterms:created>
  <dcterms:modified xsi:type="dcterms:W3CDTF">2026-08-29T13:16:13Z</dcterms:modified>
  <cp:lastModifiedBy>Walter Cutiño Ledo</cp:lastModifiedBy>
</cp:coreProperties>
</file>