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Informatica\PORTAFOLIO - CONTENIDO EN REDES SOCIALES\PROYECTOS SUBIDOS\Iberostar - SUPERFICIE\plantillas\"/>
    </mc:Choice>
  </mc:AlternateContent>
  <xr:revisionPtr revIDLastSave="0" documentId="13_ncr:1_{6CC5B2C0-14C4-473D-B0A4-003B2AF882F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xtraccion" sheetId="2" r:id="rId1"/>
  </sheets>
  <definedNames>
    <definedName name="_xlnm._FilterDatabase" localSheetId="0" hidden="1">extraccion!$A$6:$F$6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1" i="2" l="1"/>
  <c r="AL190" i="2"/>
  <c r="AM190" i="2" s="1"/>
  <c r="AN190" i="2" s="1"/>
  <c r="F190" i="2"/>
  <c r="AL189" i="2"/>
  <c r="AM189" i="2" s="1"/>
  <c r="AN189" i="2" s="1"/>
  <c r="F189" i="2"/>
  <c r="AL188" i="2"/>
  <c r="AM188" i="2" s="1"/>
  <c r="AN188" i="2" s="1"/>
  <c r="F188" i="2"/>
  <c r="AL187" i="2"/>
  <c r="AM187" i="2" s="1"/>
  <c r="AN187" i="2" s="1"/>
  <c r="F187" i="2"/>
  <c r="AL186" i="2"/>
  <c r="AM186" i="2" s="1"/>
  <c r="AN186" i="2" s="1"/>
  <c r="F186" i="2"/>
  <c r="AM185" i="2"/>
  <c r="AN185" i="2" s="1"/>
  <c r="AL185" i="2"/>
  <c r="F185" i="2"/>
  <c r="AL184" i="2"/>
  <c r="AM184" i="2" s="1"/>
  <c r="AN184" i="2" s="1"/>
  <c r="F184" i="2"/>
  <c r="AL183" i="2"/>
  <c r="AM183" i="2" s="1"/>
  <c r="AN183" i="2" s="1"/>
  <c r="F183" i="2"/>
  <c r="AL182" i="2"/>
  <c r="AM182" i="2" s="1"/>
  <c r="AN182" i="2" s="1"/>
  <c r="F182" i="2"/>
  <c r="AL181" i="2"/>
  <c r="AM181" i="2" s="1"/>
  <c r="AN181" i="2" s="1"/>
  <c r="F181" i="2"/>
  <c r="AL180" i="2"/>
  <c r="AM180" i="2" s="1"/>
  <c r="AN180" i="2" s="1"/>
  <c r="F180" i="2"/>
  <c r="AL179" i="2"/>
  <c r="AM179" i="2" s="1"/>
  <c r="AN179" i="2" s="1"/>
  <c r="F179" i="2"/>
  <c r="AL178" i="2"/>
  <c r="AM178" i="2" s="1"/>
  <c r="AN178" i="2" s="1"/>
  <c r="F178" i="2"/>
  <c r="AL177" i="2"/>
  <c r="AM177" i="2" s="1"/>
  <c r="AN177" i="2" s="1"/>
  <c r="F177" i="2"/>
  <c r="AL176" i="2"/>
  <c r="AM176" i="2" s="1"/>
  <c r="AN176" i="2" s="1"/>
  <c r="F176" i="2"/>
  <c r="AL175" i="2"/>
  <c r="AM175" i="2" s="1"/>
  <c r="AN175" i="2" s="1"/>
  <c r="F175" i="2"/>
  <c r="AL174" i="2"/>
  <c r="AM174" i="2" s="1"/>
  <c r="AN174" i="2" s="1"/>
  <c r="F174" i="2"/>
  <c r="AL173" i="2"/>
  <c r="AM173" i="2" s="1"/>
  <c r="AN173" i="2" s="1"/>
  <c r="F173" i="2"/>
  <c r="AL172" i="2"/>
  <c r="AM172" i="2" s="1"/>
  <c r="AN172" i="2" s="1"/>
  <c r="F172" i="2"/>
  <c r="AL171" i="2"/>
  <c r="AM171" i="2" s="1"/>
  <c r="AN171" i="2" s="1"/>
  <c r="F171" i="2"/>
  <c r="AL170" i="2"/>
  <c r="AM170" i="2" s="1"/>
  <c r="AN170" i="2" s="1"/>
  <c r="F170" i="2"/>
  <c r="AL169" i="2"/>
  <c r="AM169" i="2" s="1"/>
  <c r="AN169" i="2" s="1"/>
  <c r="F169" i="2"/>
  <c r="AL168" i="2"/>
  <c r="AM168" i="2" s="1"/>
  <c r="AN168" i="2" s="1"/>
  <c r="F168" i="2"/>
  <c r="AL167" i="2"/>
  <c r="AM167" i="2" s="1"/>
  <c r="AN167" i="2" s="1"/>
  <c r="F167" i="2"/>
  <c r="AL166" i="2"/>
  <c r="AM166" i="2" s="1"/>
  <c r="AN166" i="2" s="1"/>
  <c r="F166" i="2"/>
  <c r="AL165" i="2"/>
  <c r="AM165" i="2" s="1"/>
  <c r="AN165" i="2" s="1"/>
  <c r="F165" i="2"/>
  <c r="AL164" i="2"/>
  <c r="AM164" i="2" s="1"/>
  <c r="AN164" i="2" s="1"/>
  <c r="F164" i="2"/>
  <c r="AL163" i="2"/>
  <c r="AM163" i="2" s="1"/>
  <c r="AN163" i="2" s="1"/>
  <c r="F163" i="2"/>
  <c r="AL162" i="2"/>
  <c r="AM162" i="2" s="1"/>
  <c r="AN162" i="2" s="1"/>
  <c r="F162" i="2"/>
  <c r="AL161" i="2"/>
  <c r="AM161" i="2" s="1"/>
  <c r="AN161" i="2" s="1"/>
  <c r="F161" i="2"/>
  <c r="AL160" i="2"/>
  <c r="AM160" i="2" s="1"/>
  <c r="AN160" i="2" s="1"/>
  <c r="F160" i="2"/>
  <c r="AL159" i="2"/>
  <c r="AM159" i="2" s="1"/>
  <c r="AN159" i="2" s="1"/>
  <c r="F159" i="2"/>
  <c r="AL158" i="2"/>
  <c r="AM158" i="2" s="1"/>
  <c r="AN158" i="2" s="1"/>
  <c r="F158" i="2"/>
  <c r="AL157" i="2"/>
  <c r="AM157" i="2" s="1"/>
  <c r="AN157" i="2" s="1"/>
  <c r="F157" i="2"/>
  <c r="AL156" i="2"/>
  <c r="AM156" i="2" s="1"/>
  <c r="AN156" i="2" s="1"/>
  <c r="F156" i="2"/>
  <c r="AL155" i="2"/>
  <c r="AM155" i="2" s="1"/>
  <c r="AN155" i="2" s="1"/>
  <c r="F155" i="2"/>
  <c r="AL154" i="2"/>
  <c r="AM154" i="2" s="1"/>
  <c r="AN154" i="2" s="1"/>
  <c r="F154" i="2"/>
  <c r="AL153" i="2"/>
  <c r="AM153" i="2" s="1"/>
  <c r="AN153" i="2" s="1"/>
  <c r="F153" i="2"/>
  <c r="AL152" i="2"/>
  <c r="AM152" i="2" s="1"/>
  <c r="AN152" i="2" s="1"/>
  <c r="F152" i="2"/>
  <c r="AL151" i="2"/>
  <c r="AM151" i="2" s="1"/>
  <c r="AN151" i="2" s="1"/>
  <c r="F151" i="2"/>
  <c r="AL150" i="2"/>
  <c r="AM150" i="2" s="1"/>
  <c r="AN150" i="2" s="1"/>
  <c r="F150" i="2"/>
  <c r="AL149" i="2"/>
  <c r="AM149" i="2" s="1"/>
  <c r="AN149" i="2" s="1"/>
  <c r="F149" i="2"/>
  <c r="AL148" i="2"/>
  <c r="AM148" i="2" s="1"/>
  <c r="AN148" i="2" s="1"/>
  <c r="F148" i="2"/>
  <c r="AL147" i="2"/>
  <c r="AM147" i="2" s="1"/>
  <c r="AN147" i="2" s="1"/>
  <c r="F147" i="2"/>
  <c r="AL146" i="2"/>
  <c r="AM146" i="2" s="1"/>
  <c r="AN146" i="2" s="1"/>
  <c r="F146" i="2"/>
  <c r="AL145" i="2"/>
  <c r="AM145" i="2" s="1"/>
  <c r="AN145" i="2" s="1"/>
  <c r="F145" i="2"/>
  <c r="AL144" i="2"/>
  <c r="AM144" i="2" s="1"/>
  <c r="AN144" i="2" s="1"/>
  <c r="F144" i="2"/>
  <c r="AL143" i="2"/>
  <c r="AM143" i="2" s="1"/>
  <c r="AN143" i="2" s="1"/>
  <c r="F143" i="2"/>
  <c r="AL142" i="2"/>
  <c r="AM142" i="2" s="1"/>
  <c r="AN142" i="2" s="1"/>
  <c r="F142" i="2"/>
  <c r="AL141" i="2"/>
  <c r="AM141" i="2" s="1"/>
  <c r="AN141" i="2" s="1"/>
  <c r="F141" i="2"/>
  <c r="AL140" i="2"/>
  <c r="AM140" i="2" s="1"/>
  <c r="AN140" i="2" s="1"/>
  <c r="F140" i="2"/>
  <c r="AL139" i="2"/>
  <c r="AM139" i="2" s="1"/>
  <c r="AN139" i="2" s="1"/>
  <c r="F139" i="2"/>
  <c r="AL138" i="2"/>
  <c r="AM138" i="2" s="1"/>
  <c r="AN138" i="2" s="1"/>
  <c r="F138" i="2"/>
  <c r="AL137" i="2"/>
  <c r="AM137" i="2" s="1"/>
  <c r="AN137" i="2" s="1"/>
  <c r="F137" i="2"/>
  <c r="AL136" i="2"/>
  <c r="AM136" i="2" s="1"/>
  <c r="AN136" i="2" s="1"/>
  <c r="F136" i="2"/>
  <c r="AL135" i="2"/>
  <c r="AM135" i="2" s="1"/>
  <c r="AN135" i="2" s="1"/>
  <c r="F135" i="2"/>
  <c r="AL134" i="2"/>
  <c r="AM134" i="2" s="1"/>
  <c r="AN134" i="2" s="1"/>
  <c r="F134" i="2"/>
  <c r="AL133" i="2"/>
  <c r="AM133" i="2" s="1"/>
  <c r="AN133" i="2" s="1"/>
  <c r="F133" i="2"/>
  <c r="AL132" i="2"/>
  <c r="AM132" i="2" s="1"/>
  <c r="AN132" i="2" s="1"/>
  <c r="F132" i="2"/>
  <c r="AL131" i="2"/>
  <c r="AM131" i="2" s="1"/>
  <c r="AN131" i="2" s="1"/>
  <c r="F131" i="2"/>
  <c r="AL130" i="2"/>
  <c r="AM130" i="2" s="1"/>
  <c r="AN130" i="2" s="1"/>
  <c r="F130" i="2"/>
  <c r="AL129" i="2"/>
  <c r="AM129" i="2" s="1"/>
  <c r="AN129" i="2" s="1"/>
  <c r="F129" i="2"/>
  <c r="AL128" i="2"/>
  <c r="AM128" i="2" s="1"/>
  <c r="AN128" i="2" s="1"/>
  <c r="F128" i="2"/>
  <c r="AL127" i="2"/>
  <c r="AM127" i="2" s="1"/>
  <c r="AN127" i="2" s="1"/>
  <c r="F127" i="2"/>
  <c r="AL126" i="2"/>
  <c r="AM126" i="2" s="1"/>
  <c r="AN126" i="2" s="1"/>
  <c r="F126" i="2"/>
  <c r="AL125" i="2"/>
  <c r="AM125" i="2" s="1"/>
  <c r="AN125" i="2" s="1"/>
  <c r="F125" i="2"/>
  <c r="AL124" i="2"/>
  <c r="AM124" i="2" s="1"/>
  <c r="AN124" i="2" s="1"/>
  <c r="F124" i="2"/>
  <c r="AL123" i="2"/>
  <c r="AM123" i="2" s="1"/>
  <c r="AN123" i="2" s="1"/>
  <c r="F123" i="2"/>
  <c r="AL122" i="2"/>
  <c r="AM122" i="2" s="1"/>
  <c r="AN122" i="2" s="1"/>
  <c r="F122" i="2"/>
  <c r="AL121" i="2"/>
  <c r="AM121" i="2" s="1"/>
  <c r="AN121" i="2" s="1"/>
  <c r="F121" i="2"/>
  <c r="AL120" i="2"/>
  <c r="AM120" i="2" s="1"/>
  <c r="AN120" i="2" s="1"/>
  <c r="F120" i="2"/>
  <c r="AL119" i="2"/>
  <c r="AM119" i="2" s="1"/>
  <c r="AN119" i="2" s="1"/>
  <c r="F119" i="2"/>
  <c r="AL118" i="2"/>
  <c r="AM118" i="2" s="1"/>
  <c r="AN118" i="2" s="1"/>
  <c r="F118" i="2"/>
  <c r="AL117" i="2"/>
  <c r="AM117" i="2" s="1"/>
  <c r="AN117" i="2" s="1"/>
  <c r="F117" i="2"/>
  <c r="AL116" i="2"/>
  <c r="AM116" i="2" s="1"/>
  <c r="AN116" i="2" s="1"/>
  <c r="F116" i="2"/>
  <c r="AL115" i="2"/>
  <c r="AM115" i="2" s="1"/>
  <c r="AN115" i="2" s="1"/>
  <c r="F115" i="2"/>
  <c r="AL114" i="2"/>
  <c r="AM114" i="2" s="1"/>
  <c r="AN114" i="2" s="1"/>
  <c r="F114" i="2"/>
  <c r="AL113" i="2"/>
  <c r="AM113" i="2" s="1"/>
  <c r="AN113" i="2" s="1"/>
  <c r="F113" i="2"/>
  <c r="AL112" i="2"/>
  <c r="AM112" i="2" s="1"/>
  <c r="AN112" i="2" s="1"/>
  <c r="F112" i="2"/>
  <c r="AL111" i="2"/>
  <c r="AM111" i="2" s="1"/>
  <c r="AN111" i="2" s="1"/>
  <c r="F111" i="2"/>
  <c r="AL110" i="2"/>
  <c r="AM110" i="2" s="1"/>
  <c r="AN110" i="2" s="1"/>
  <c r="F110" i="2"/>
  <c r="AL109" i="2"/>
  <c r="AM109" i="2" s="1"/>
  <c r="AN109" i="2" s="1"/>
  <c r="F109" i="2"/>
  <c r="AL108" i="2"/>
  <c r="AM108" i="2" s="1"/>
  <c r="AN108" i="2" s="1"/>
  <c r="F108" i="2"/>
  <c r="AL107" i="2"/>
  <c r="AM107" i="2" s="1"/>
  <c r="AN107" i="2" s="1"/>
  <c r="F107" i="2"/>
  <c r="AL106" i="2"/>
  <c r="AM106" i="2" s="1"/>
  <c r="AN106" i="2" s="1"/>
  <c r="F106" i="2"/>
  <c r="AL105" i="2"/>
  <c r="AM105" i="2" s="1"/>
  <c r="AN105" i="2" s="1"/>
  <c r="F105" i="2"/>
  <c r="AL104" i="2"/>
  <c r="AM104" i="2" s="1"/>
  <c r="AN104" i="2" s="1"/>
  <c r="F104" i="2"/>
  <c r="AL103" i="2"/>
  <c r="AM103" i="2" s="1"/>
  <c r="AN103" i="2" s="1"/>
  <c r="F103" i="2"/>
  <c r="AL102" i="2"/>
  <c r="AM102" i="2" s="1"/>
  <c r="AN102" i="2" s="1"/>
  <c r="F102" i="2"/>
  <c r="AL101" i="2"/>
  <c r="AM101" i="2" s="1"/>
  <c r="AN101" i="2" s="1"/>
  <c r="F101" i="2"/>
  <c r="AL100" i="2"/>
  <c r="AM100" i="2" s="1"/>
  <c r="AN100" i="2" s="1"/>
  <c r="F100" i="2"/>
  <c r="AL99" i="2"/>
  <c r="AM99" i="2" s="1"/>
  <c r="AN99" i="2" s="1"/>
  <c r="F99" i="2"/>
  <c r="AL98" i="2"/>
  <c r="AM98" i="2" s="1"/>
  <c r="AN98" i="2" s="1"/>
  <c r="F98" i="2"/>
  <c r="AL97" i="2"/>
  <c r="AM97" i="2" s="1"/>
  <c r="AN97" i="2" s="1"/>
  <c r="F97" i="2"/>
  <c r="AL96" i="2"/>
  <c r="AM96" i="2" s="1"/>
  <c r="AN96" i="2" s="1"/>
  <c r="F96" i="2"/>
  <c r="AL95" i="2"/>
  <c r="AM95" i="2" s="1"/>
  <c r="AN95" i="2" s="1"/>
  <c r="F95" i="2"/>
  <c r="AL94" i="2"/>
  <c r="AM94" i="2" s="1"/>
  <c r="AN94" i="2" s="1"/>
  <c r="F94" i="2"/>
  <c r="AL93" i="2"/>
  <c r="AM93" i="2" s="1"/>
  <c r="AN93" i="2" s="1"/>
  <c r="F93" i="2"/>
  <c r="AL92" i="2"/>
  <c r="AM92" i="2" s="1"/>
  <c r="AN92" i="2" s="1"/>
  <c r="F92" i="2"/>
  <c r="AL91" i="2"/>
  <c r="AM91" i="2" s="1"/>
  <c r="AN91" i="2" s="1"/>
  <c r="F91" i="2"/>
  <c r="AL90" i="2"/>
  <c r="AM90" i="2" s="1"/>
  <c r="AN90" i="2" s="1"/>
  <c r="F90" i="2"/>
  <c r="AL89" i="2"/>
  <c r="AM89" i="2" s="1"/>
  <c r="AN89" i="2" s="1"/>
  <c r="F89" i="2"/>
  <c r="AL88" i="2"/>
  <c r="AM88" i="2" s="1"/>
  <c r="AN88" i="2" s="1"/>
  <c r="F88" i="2"/>
  <c r="AL87" i="2"/>
  <c r="AM87" i="2" s="1"/>
  <c r="AN87" i="2" s="1"/>
  <c r="F87" i="2"/>
  <c r="AL86" i="2"/>
  <c r="AM86" i="2" s="1"/>
  <c r="AN86" i="2" s="1"/>
  <c r="F86" i="2"/>
  <c r="AL85" i="2"/>
  <c r="AM85" i="2" s="1"/>
  <c r="AN85" i="2" s="1"/>
  <c r="F85" i="2"/>
  <c r="AL84" i="2"/>
  <c r="AM84" i="2" s="1"/>
  <c r="AN84" i="2" s="1"/>
  <c r="F84" i="2"/>
  <c r="AL83" i="2"/>
  <c r="AM83" i="2" s="1"/>
  <c r="AN83" i="2" s="1"/>
  <c r="F83" i="2"/>
  <c r="AL82" i="2"/>
  <c r="AM82" i="2" s="1"/>
  <c r="AN82" i="2" s="1"/>
  <c r="F82" i="2"/>
  <c r="AL81" i="2"/>
  <c r="AM81" i="2" s="1"/>
  <c r="AN81" i="2" s="1"/>
  <c r="F81" i="2"/>
  <c r="AL80" i="2"/>
  <c r="AM80" i="2" s="1"/>
  <c r="AN80" i="2" s="1"/>
  <c r="F80" i="2"/>
  <c r="AL79" i="2"/>
  <c r="AM79" i="2" s="1"/>
  <c r="AN79" i="2" s="1"/>
  <c r="F79" i="2"/>
  <c r="AL78" i="2"/>
  <c r="AM78" i="2" s="1"/>
  <c r="AN78" i="2" s="1"/>
  <c r="F78" i="2"/>
  <c r="AL77" i="2"/>
  <c r="AM77" i="2" s="1"/>
  <c r="AN77" i="2" s="1"/>
  <c r="F77" i="2"/>
  <c r="AL76" i="2"/>
  <c r="AM76" i="2" s="1"/>
  <c r="AN76" i="2" s="1"/>
  <c r="F76" i="2"/>
  <c r="AL75" i="2"/>
  <c r="AM75" i="2" s="1"/>
  <c r="AN75" i="2" s="1"/>
  <c r="F75" i="2"/>
  <c r="AL74" i="2"/>
  <c r="AM74" i="2" s="1"/>
  <c r="AN74" i="2" s="1"/>
  <c r="F74" i="2"/>
  <c r="AL73" i="2"/>
  <c r="AM73" i="2" s="1"/>
  <c r="AN73" i="2" s="1"/>
  <c r="F73" i="2"/>
  <c r="AL72" i="2"/>
  <c r="AM72" i="2" s="1"/>
  <c r="AN72" i="2" s="1"/>
  <c r="F72" i="2"/>
  <c r="AL71" i="2"/>
  <c r="AM71" i="2" s="1"/>
  <c r="AN71" i="2" s="1"/>
  <c r="F71" i="2"/>
  <c r="AL70" i="2"/>
  <c r="AM70" i="2" s="1"/>
  <c r="AN70" i="2" s="1"/>
  <c r="F70" i="2"/>
  <c r="AL69" i="2"/>
  <c r="AM69" i="2" s="1"/>
  <c r="AN69" i="2" s="1"/>
  <c r="F69" i="2"/>
  <c r="AL68" i="2"/>
  <c r="AM68" i="2" s="1"/>
  <c r="AN68" i="2" s="1"/>
  <c r="F68" i="2"/>
  <c r="AL67" i="2"/>
  <c r="AM67" i="2" s="1"/>
  <c r="AN67" i="2" s="1"/>
  <c r="F67" i="2"/>
  <c r="AL66" i="2"/>
  <c r="AM66" i="2" s="1"/>
  <c r="AN66" i="2" s="1"/>
  <c r="F66" i="2"/>
  <c r="AL65" i="2"/>
  <c r="AM65" i="2" s="1"/>
  <c r="AN65" i="2" s="1"/>
  <c r="F65" i="2"/>
  <c r="AL64" i="2"/>
  <c r="AM64" i="2" s="1"/>
  <c r="AN64" i="2" s="1"/>
  <c r="F64" i="2"/>
  <c r="AL63" i="2"/>
  <c r="AM63" i="2" s="1"/>
  <c r="AN63" i="2" s="1"/>
  <c r="F63" i="2"/>
  <c r="AL62" i="2"/>
  <c r="AM62" i="2" s="1"/>
  <c r="AN62" i="2" s="1"/>
  <c r="F62" i="2"/>
  <c r="AL61" i="2"/>
  <c r="AM61" i="2" s="1"/>
  <c r="AN61" i="2" s="1"/>
  <c r="F61" i="2"/>
  <c r="AL60" i="2"/>
  <c r="AM60" i="2" s="1"/>
  <c r="AN60" i="2" s="1"/>
  <c r="F60" i="2"/>
  <c r="AL59" i="2"/>
  <c r="AM59" i="2" s="1"/>
  <c r="AN59" i="2" s="1"/>
  <c r="F59" i="2"/>
  <c r="AL58" i="2"/>
  <c r="AM58" i="2" s="1"/>
  <c r="AN58" i="2" s="1"/>
  <c r="F58" i="2"/>
  <c r="AL57" i="2"/>
  <c r="AM57" i="2" s="1"/>
  <c r="AN57" i="2" s="1"/>
  <c r="F57" i="2"/>
  <c r="AL56" i="2"/>
  <c r="AM56" i="2" s="1"/>
  <c r="AN56" i="2" s="1"/>
  <c r="F56" i="2"/>
  <c r="AL55" i="2"/>
  <c r="AM55" i="2" s="1"/>
  <c r="AN55" i="2" s="1"/>
  <c r="F55" i="2"/>
  <c r="AL54" i="2"/>
  <c r="AM54" i="2" s="1"/>
  <c r="AN54" i="2" s="1"/>
  <c r="F54" i="2"/>
  <c r="AL53" i="2"/>
  <c r="AM53" i="2" s="1"/>
  <c r="AN53" i="2" s="1"/>
  <c r="F53" i="2"/>
  <c r="AL52" i="2"/>
  <c r="AM52" i="2" s="1"/>
  <c r="AN52" i="2" s="1"/>
  <c r="F52" i="2"/>
  <c r="AL51" i="2"/>
  <c r="AM51" i="2" s="1"/>
  <c r="AN51" i="2" s="1"/>
  <c r="F51" i="2"/>
  <c r="AL50" i="2"/>
  <c r="AM50" i="2" s="1"/>
  <c r="AN50" i="2" s="1"/>
  <c r="F50" i="2"/>
  <c r="AL49" i="2"/>
  <c r="AM49" i="2" s="1"/>
  <c r="AN49" i="2" s="1"/>
  <c r="F49" i="2"/>
  <c r="AL48" i="2"/>
  <c r="AM48" i="2" s="1"/>
  <c r="AN48" i="2" s="1"/>
  <c r="F48" i="2"/>
  <c r="AL47" i="2"/>
  <c r="AM47" i="2" s="1"/>
  <c r="AN47" i="2" s="1"/>
  <c r="F47" i="2"/>
  <c r="AL46" i="2"/>
  <c r="AM46" i="2" s="1"/>
  <c r="AN46" i="2" s="1"/>
  <c r="F46" i="2"/>
  <c r="AL45" i="2"/>
  <c r="AM45" i="2" s="1"/>
  <c r="AN45" i="2" s="1"/>
  <c r="F45" i="2"/>
  <c r="AL44" i="2"/>
  <c r="AM44" i="2" s="1"/>
  <c r="AN44" i="2" s="1"/>
  <c r="F44" i="2"/>
  <c r="AL43" i="2"/>
  <c r="AM43" i="2" s="1"/>
  <c r="AN43" i="2" s="1"/>
  <c r="F43" i="2"/>
  <c r="AL42" i="2"/>
  <c r="AM42" i="2" s="1"/>
  <c r="AN42" i="2" s="1"/>
  <c r="F42" i="2"/>
  <c r="AL41" i="2"/>
  <c r="AM41" i="2" s="1"/>
  <c r="AN41" i="2" s="1"/>
  <c r="F41" i="2"/>
  <c r="AL40" i="2"/>
  <c r="AM40" i="2" s="1"/>
  <c r="AN40" i="2" s="1"/>
  <c r="F40" i="2"/>
  <c r="AL39" i="2"/>
  <c r="AM39" i="2" s="1"/>
  <c r="AN39" i="2" s="1"/>
  <c r="F39" i="2"/>
  <c r="AL38" i="2"/>
  <c r="AM38" i="2" s="1"/>
  <c r="AN38" i="2" s="1"/>
  <c r="F38" i="2"/>
  <c r="AL37" i="2"/>
  <c r="AM37" i="2" s="1"/>
  <c r="AN37" i="2" s="1"/>
  <c r="F37" i="2"/>
  <c r="AL36" i="2"/>
  <c r="AM36" i="2" s="1"/>
  <c r="AN36" i="2" s="1"/>
  <c r="F36" i="2"/>
  <c r="AL35" i="2"/>
  <c r="AM35" i="2" s="1"/>
  <c r="AN35" i="2" s="1"/>
  <c r="F35" i="2"/>
  <c r="AL34" i="2"/>
  <c r="AM34" i="2" s="1"/>
  <c r="AN34" i="2" s="1"/>
  <c r="F34" i="2"/>
  <c r="AL33" i="2"/>
  <c r="AM33" i="2" s="1"/>
  <c r="AN33" i="2" s="1"/>
  <c r="F33" i="2"/>
  <c r="AL32" i="2"/>
  <c r="AM32" i="2" s="1"/>
  <c r="AN32" i="2" s="1"/>
  <c r="F32" i="2"/>
  <c r="AL31" i="2"/>
  <c r="AM31" i="2" s="1"/>
  <c r="AN31" i="2" s="1"/>
  <c r="F31" i="2"/>
  <c r="AL30" i="2"/>
  <c r="AM30" i="2" s="1"/>
  <c r="AN30" i="2" s="1"/>
  <c r="F30" i="2"/>
  <c r="AL29" i="2"/>
  <c r="AM29" i="2" s="1"/>
  <c r="AN29" i="2" s="1"/>
  <c r="F29" i="2"/>
  <c r="AL28" i="2"/>
  <c r="AM28" i="2" s="1"/>
  <c r="AN28" i="2" s="1"/>
  <c r="F28" i="2"/>
  <c r="AL27" i="2"/>
  <c r="AM27" i="2" s="1"/>
  <c r="AN27" i="2" s="1"/>
  <c r="F27" i="2"/>
  <c r="AL26" i="2"/>
  <c r="AM26" i="2" s="1"/>
  <c r="AN26" i="2" s="1"/>
  <c r="F26" i="2"/>
  <c r="AL25" i="2"/>
  <c r="AM25" i="2" s="1"/>
  <c r="AN25" i="2" s="1"/>
  <c r="F25" i="2"/>
  <c r="AL24" i="2"/>
  <c r="AM24" i="2" s="1"/>
  <c r="AN24" i="2" s="1"/>
  <c r="F24" i="2"/>
  <c r="AL23" i="2"/>
  <c r="AM23" i="2" s="1"/>
  <c r="AN23" i="2" s="1"/>
  <c r="F23" i="2"/>
  <c r="AL22" i="2"/>
  <c r="AM22" i="2" s="1"/>
  <c r="AN22" i="2" s="1"/>
  <c r="F22" i="2"/>
  <c r="AL21" i="2"/>
  <c r="AM21" i="2" s="1"/>
  <c r="AN21" i="2" s="1"/>
  <c r="F21" i="2"/>
  <c r="AL20" i="2"/>
  <c r="AM20" i="2" s="1"/>
  <c r="AN20" i="2" s="1"/>
  <c r="F20" i="2"/>
  <c r="AL19" i="2"/>
  <c r="AM19" i="2" s="1"/>
  <c r="AN19" i="2" s="1"/>
  <c r="F19" i="2"/>
  <c r="AL18" i="2"/>
  <c r="AM18" i="2" s="1"/>
  <c r="AN18" i="2" s="1"/>
  <c r="F18" i="2"/>
  <c r="AL17" i="2"/>
  <c r="AM17" i="2" s="1"/>
  <c r="AN17" i="2" s="1"/>
  <c r="F17" i="2"/>
  <c r="AL16" i="2"/>
  <c r="AM16" i="2" s="1"/>
  <c r="AN16" i="2" s="1"/>
  <c r="F16" i="2"/>
  <c r="AL15" i="2"/>
  <c r="AM15" i="2" s="1"/>
  <c r="AN15" i="2" s="1"/>
  <c r="F15" i="2"/>
  <c r="AL14" i="2"/>
  <c r="AM14" i="2" s="1"/>
  <c r="AN14" i="2" s="1"/>
  <c r="F14" i="2"/>
  <c r="AL13" i="2"/>
  <c r="AM13" i="2" s="1"/>
  <c r="AN13" i="2" s="1"/>
  <c r="F13" i="2"/>
  <c r="AL12" i="2"/>
  <c r="AM12" i="2" s="1"/>
  <c r="AN12" i="2" s="1"/>
  <c r="F12" i="2"/>
  <c r="AL11" i="2"/>
  <c r="AM11" i="2" s="1"/>
  <c r="AN11" i="2" s="1"/>
  <c r="F11" i="2"/>
  <c r="AL10" i="2"/>
  <c r="AM10" i="2" s="1"/>
  <c r="AN10" i="2" s="1"/>
  <c r="F10" i="2"/>
  <c r="AL9" i="2"/>
  <c r="AM9" i="2" s="1"/>
  <c r="AN9" i="2" s="1"/>
  <c r="F9" i="2"/>
  <c r="AL8" i="2"/>
  <c r="AM8" i="2" s="1"/>
  <c r="AN8" i="2" s="1"/>
  <c r="F8" i="2"/>
  <c r="AL7" i="2"/>
  <c r="AM7" i="2" s="1"/>
  <c r="F7" i="2"/>
  <c r="F191" i="2" l="1"/>
  <c r="AM191" i="2"/>
  <c r="AL191" i="2"/>
  <c r="AN7" i="2"/>
  <c r="AN191" i="2" s="1"/>
</calcChain>
</file>

<file path=xl/sharedStrings.xml><?xml version="1.0" encoding="utf-8"?>
<sst xmlns="http://schemas.openxmlformats.org/spreadsheetml/2006/main" count="410" uniqueCount="210">
  <si>
    <t>Cód.Art.</t>
  </si>
  <si>
    <t>Artículo</t>
  </si>
  <si>
    <t>Cnt.Stk.</t>
  </si>
  <si>
    <t>Frm.Stk.</t>
  </si>
  <si>
    <t>Prc.Med.EUR</t>
  </si>
  <si>
    <t>Total EUR</t>
  </si>
  <si>
    <t>AZUCAR TERRON BLANCO 4 GR</t>
  </si>
  <si>
    <t>UNIDAD</t>
  </si>
  <si>
    <t>AZUCAR TERRON MORENO 4 GR</t>
  </si>
  <si>
    <t>EDULCORANTE PASTILLAS 650 UD</t>
  </si>
  <si>
    <t>CHOCOLATE MAQUINA 1 KG</t>
  </si>
  <si>
    <t>PAQUETE</t>
  </si>
  <si>
    <t>PAJITA BAR COMESTIBLE SABOR LIMON 0.8X19 CM 100 UDS</t>
  </si>
  <si>
    <t>BEBIDA SOJA ORIGINAL 100 CL</t>
  </si>
  <si>
    <t>BRIK</t>
  </si>
  <si>
    <t>LIMA</t>
  </si>
  <si>
    <t>KILO</t>
  </si>
  <si>
    <t>LIMONES 1ª</t>
  </si>
  <si>
    <t>NARANJA ZUMO</t>
  </si>
  <si>
    <t>APIO BLANCO MANOJO</t>
  </si>
  <si>
    <t>MANOJO</t>
  </si>
  <si>
    <t>HIERBABUENA MANOJO</t>
  </si>
  <si>
    <t>LIMONES EXTRA</t>
  </si>
  <si>
    <t>ALMENDRA REPELADA FRITA</t>
  </si>
  <si>
    <t>CACAHUETE CHOCOLATEADO</t>
  </si>
  <si>
    <t>CACAHUETE REPELADO</t>
  </si>
  <si>
    <t>CACAHUETES GARRAPIÑADOS</t>
  </si>
  <si>
    <t>CACAHUETES SALADOS REPELADOS</t>
  </si>
  <si>
    <t>LIMA DESHIDRATADA RODAJAS</t>
  </si>
  <si>
    <t>LIMON DESHIDRATADO RODAJAS</t>
  </si>
  <si>
    <t>MEZCLA FRUTOS SECOS</t>
  </si>
  <si>
    <t>NARANJA DESHIDRATADA</t>
  </si>
  <si>
    <t>PAPAYA FILETEADA</t>
  </si>
  <si>
    <t>PIÑA DADOS 8/10</t>
  </si>
  <si>
    <t>PIÑA DESHIDRATADA</t>
  </si>
  <si>
    <t>PIÑONES FRUTOS SECOS</t>
  </si>
  <si>
    <t>PLATANO SECO</t>
  </si>
  <si>
    <t>POMELO DESHIDRATADO RODAJAS</t>
  </si>
  <si>
    <t>CORTEZAS CERDO</t>
  </si>
  <si>
    <t>PALOMITA MAIZ 110 GR</t>
  </si>
  <si>
    <t>BOLSA</t>
  </si>
  <si>
    <t>PATATILLA BOLSA 400-500 GR</t>
  </si>
  <si>
    <t>GALLETA TIPO CAMPURRIANA 600 GR</t>
  </si>
  <si>
    <t>GOLOSINAS GRANEL</t>
  </si>
  <si>
    <t>BIB LECHE SEMIDESNATADA 10 LT</t>
  </si>
  <si>
    <t>LITRO</t>
  </si>
  <si>
    <t>LECHE ALMENDRA 1 LT</t>
  </si>
  <si>
    <t>LECHE AVENA 1 LT</t>
  </si>
  <si>
    <t>LECHE DESNATADA POLVO</t>
  </si>
  <si>
    <t>LECHE SEMIDESNATADA 1 LT</t>
  </si>
  <si>
    <t>LECHE SEMIDESNATADA SIN LACTOSA BRIK 1 LT</t>
  </si>
  <si>
    <t>BATIDO CACAO 20 CL</t>
  </si>
  <si>
    <t>BOTELLA</t>
  </si>
  <si>
    <t>APERITIVO AMARO RAMAZZOTTI 70 CL</t>
  </si>
  <si>
    <t>APERITIVO APEROL 100 CL</t>
  </si>
  <si>
    <t>APERITIVO CAMPARI 100 CL</t>
  </si>
  <si>
    <t>APERITIVO FERNET BRANCA 70 CL</t>
  </si>
  <si>
    <t>APERITIVO MARTINI BLANCO DULCE 100 CL</t>
  </si>
  <si>
    <t>APERITIVO MARTINI BLANCO FLOREALE S/ALCOHOL 75 CL</t>
  </si>
  <si>
    <t>APERITIVO MARTINI BLANCO SECO 100 CL</t>
  </si>
  <si>
    <t>APERITIVO MARTINI ROJO 100 CL</t>
  </si>
  <si>
    <t>APERITIVO MARTINI ROJO VIBRANTE S/ALCOHOL 75 CL</t>
  </si>
  <si>
    <t>APERITIVO RICARD 100 CL</t>
  </si>
  <si>
    <t>VINO GEN CHICLANERO 75 CL</t>
  </si>
  <si>
    <t>VINO GEN MOSCATEL 75 CL</t>
  </si>
  <si>
    <t>VINO GEN OLOROSO CHICLANERO 75 CL</t>
  </si>
  <si>
    <t>BRANDY CARLOS I 70 CL</t>
  </si>
  <si>
    <t>BRANDY CARLOS III 70 CL</t>
  </si>
  <si>
    <t>BRANDY VETERANO 100 CL</t>
  </si>
  <si>
    <t>COÑAC HENNESSY V.S 70 CL</t>
  </si>
  <si>
    <t>CAFE GRANO BLEND PROFONDO/ELEGANTE 1 KG</t>
  </si>
  <si>
    <t>CAFE GRANO DESCAFEINADO 500 GR</t>
  </si>
  <si>
    <t>CAFE SOLUBLE DESCAFEINADO 250 GR</t>
  </si>
  <si>
    <t>BIB TE/INFUSION TE BLANCO C/ARANDANOS</t>
  </si>
  <si>
    <t>BIB TE/INFUSION TE VERDE C/JENGIBRE</t>
  </si>
  <si>
    <t>TE/INFUSION BOLSITA IND PAPEL EARL GREY 1.5 GR 30 UD</t>
  </si>
  <si>
    <t>TE/INFUSION BOLSITA IND PAPEL ENGLISH BREAKFAST 1.5 GR 30 UD</t>
  </si>
  <si>
    <t>TE/INFUSION BOLSITA IND PAPEL FRUTAS BOSQUE 1.5 GR 30 UD</t>
  </si>
  <si>
    <t>TE/INFUSION BOLSITA IND PAPEL MANZANILLA 1.5 GR 30 UD</t>
  </si>
  <si>
    <t>TE/INFUSION BOLSITA IND PAPEL MENTA 1.5 GR 30 UD</t>
  </si>
  <si>
    <t>TE/INFUSION BOLSITA IND PAPEL ROJO 1.5 GR 30 UD</t>
  </si>
  <si>
    <t>TE/INFUSION BOLSITA IND PAPEL SWEET ROOIBOS 1.5 GR 30 UD</t>
  </si>
  <si>
    <t>TE/INFUSION BOLSITA IND PAPEL TILA 1.5 GR 30 UD</t>
  </si>
  <si>
    <t>TE/INFUSION BOLSITA IND PAPEL VERDE ORGANICO 1.5 GR 30 UD</t>
  </si>
  <si>
    <t>CAVA CASTELL D'ORDAL BRUT 75 CL</t>
  </si>
  <si>
    <t>CAVA ELYSSIA GRAN CUVEE BRUT 75 CL</t>
  </si>
  <si>
    <t>CAVA ELYSSIA PINOT NOIR ROSE   75 CL</t>
  </si>
  <si>
    <t>CHAMPAN ABELE 1757 BRUT 75 CL</t>
  </si>
  <si>
    <t>CHAMPAN ABELE 1757 ROSE 75 CL</t>
  </si>
  <si>
    <t>CHAMPAN MOET &amp; CHANDON 75 CL</t>
  </si>
  <si>
    <t>CHAMPAN TAITTINGER BRUT RVA 75 CL</t>
  </si>
  <si>
    <t>CERVEZA BARRIL MAHOU CLASICA 30 LT</t>
  </si>
  <si>
    <t>CERVEZA CORONA EXTRA S/R 35.5 CL</t>
  </si>
  <si>
    <t>CERVEZA FRANZISKANER S/R 50 CL</t>
  </si>
  <si>
    <t>CERVEZA HEINEKEN C/R 33 CL</t>
  </si>
  <si>
    <t>CERVEZA SAN MIGUEL S/GLUTEN SR 33 CL</t>
  </si>
  <si>
    <t>CERVEZA SIN ALCOHOL MAHOU TOSTADA C/R 33 CL</t>
  </si>
  <si>
    <t>CERVEZA SIN ALCOHOL S.M 0'0 33 CL</t>
  </si>
  <si>
    <t>AGUARD. GRAPPA 70 CL</t>
  </si>
  <si>
    <t>AGUARD. ORUJO DE HIERBAS 70 CL</t>
  </si>
  <si>
    <t>GIN BEEFEATER 70 CL</t>
  </si>
  <si>
    <t>GIN BOMBAY SAPPHIRE 70 CL</t>
  </si>
  <si>
    <t>GIN FITA 70 CL</t>
  </si>
  <si>
    <t>GIN G'VINE 70 CL</t>
  </si>
  <si>
    <t>GIN GORDON'S 70 CL</t>
  </si>
  <si>
    <t>GIN GORDON'S PINK 70 CL</t>
  </si>
  <si>
    <t>GIN HENDRICKS 70  CL</t>
  </si>
  <si>
    <t>GIN LARIOS 12 AÑOS 70 CL</t>
  </si>
  <si>
    <t>GIN MARE 70 CL</t>
  </si>
  <si>
    <t>GIN NORDES 70 CL</t>
  </si>
  <si>
    <t>GIN PUERTO DE INDIAS FRESA 70 CL</t>
  </si>
  <si>
    <t>GIN TANQUERAY 0.0 70 CL</t>
  </si>
  <si>
    <t>GIN TANQUERAY Nº TEN  70 CL</t>
  </si>
  <si>
    <t>BIB COCKTAIL DAIQUIRI LIMON C/ALCOHOL</t>
  </si>
  <si>
    <t>BIB COCKTAIL LOVE ON THE BEACH C/ALCOHOL</t>
  </si>
  <si>
    <t>BIB COCKTAIL MANGOTINI C/ALCOHOL</t>
  </si>
  <si>
    <t>BIB COCKTAIL MOJITO C/ALCOHOL</t>
  </si>
  <si>
    <t>BIB COCKTAIL PIÑA COLADA C/ALCOHOL</t>
  </si>
  <si>
    <t>BIB COCKTAIL TEQUILA SUNRISE C/ALCOHOL</t>
  </si>
  <si>
    <t>BIB COCKTAIL VODKA SUN C/ALCOHOL</t>
  </si>
  <si>
    <t>LICOR AMARETTO DISARONNO 70 CL</t>
  </si>
  <si>
    <t>LICOR ANIS MARIE BRIZARD 100 CL</t>
  </si>
  <si>
    <t>LICOR ANIS SECO CHINCHON 100 CL</t>
  </si>
  <si>
    <t>LICOR BAILEY'S 100 CL</t>
  </si>
  <si>
    <t>LICOR COINTREAU 70 CL</t>
  </si>
  <si>
    <t>LICOR LICOR 43 100 CL</t>
  </si>
  <si>
    <t>LICOR LIMONCELLO VILLA MASSA 70 CL</t>
  </si>
  <si>
    <t>LICOR MALIBU 70 CL</t>
  </si>
  <si>
    <t>LICOR MANZANA VERDE 70 CL</t>
  </si>
  <si>
    <t>LICOR MELOCOTON 100 CL</t>
  </si>
  <si>
    <t>LICOR PACHARAN ZOCO 100 CL</t>
  </si>
  <si>
    <t>LICOR TIA MARIA 70 CL</t>
  </si>
  <si>
    <t>BIB COCKTAIL BAHIA S/ALCOHOL</t>
  </si>
  <si>
    <t>BIB COCKTAIL SAN BORONDON S/ALCOHOL 10 LT</t>
  </si>
  <si>
    <t>BIB COCKTAIL STELLA S/ALCOHOL</t>
  </si>
  <si>
    <t>COCKTAIL CONCENTRADO FRUIT PUNCH S/ALCOHOL 10 LT</t>
  </si>
  <si>
    <t>JARABE GRANADINA 100 CL</t>
  </si>
  <si>
    <t>JARABE LIME JUICE 100 CL</t>
  </si>
  <si>
    <t>LICOR MANZANA S/ALCOHOL 70 CL</t>
  </si>
  <si>
    <t>LICOR MELOCOTON S/ALCOHOL 70 CL</t>
  </si>
  <si>
    <t>PURE FRUTA FRESA 100 CL</t>
  </si>
  <si>
    <t>REFRESCO BIB COCA COLA</t>
  </si>
  <si>
    <t>REFRESCO BIB COCA COLA ZERO</t>
  </si>
  <si>
    <t>REFRESCO BIB FANTA LIMON ZERO</t>
  </si>
  <si>
    <t>REFRESCO BIB FANTA NARANJA ZERO</t>
  </si>
  <si>
    <t>REFRESCO BIB SAN FRANCISCO FREE S/ALCOHOL</t>
  </si>
  <si>
    <t>REFRESCO BIB SPRITE ZERO</t>
  </si>
  <si>
    <t>REFRESCO BIB TONICA NORDIC MIST</t>
  </si>
  <si>
    <t>REFRESCO CRISTAL BITTER ROYAL BLISS ROSSO S/R 20 CL</t>
  </si>
  <si>
    <t>REFRESCO CRISTAL COCA COLA C/R 23.7 CL</t>
  </si>
  <si>
    <t>REFRESCO CRISTAL COCA COLA ZERO C/R 23.7 CL</t>
  </si>
  <si>
    <t>REFRESCO CRISTAL FANTA LIMON C/R 23.7 CL</t>
  </si>
  <si>
    <t>REFRESCO CRISTAL FANTA NARANJA C/R 23.7 CL</t>
  </si>
  <si>
    <t>REFRESCO CRISTAL GINGER ALE ROYAL BLISS S/R 20 CL</t>
  </si>
  <si>
    <t>REFRESCO CRISTAL SPRITE C/R 20 CL</t>
  </si>
  <si>
    <t>REFRESCO CRISTAL TONICA 1724 S/R 20 CL</t>
  </si>
  <si>
    <t>REFRESCO CRISTAL TONICA NORDIC MIST C/R 20 CL</t>
  </si>
  <si>
    <t>REFRESCO CRISTAL TONICA ROYAL BLISS BERRY C/R 20 CL</t>
  </si>
  <si>
    <t>REFRESCO CRISTAL TONICA ROYAL BLISS C/R 20 CL</t>
  </si>
  <si>
    <t>REFRESCO CRISTAL TONICA ROYAL BLISS POMELO S/R 20 CL</t>
  </si>
  <si>
    <t>REFRESCO BIB FUZE TEA LIMON S/AZUCAR</t>
  </si>
  <si>
    <t>RON BACARDI 100 CL</t>
  </si>
  <si>
    <t>RON BACARDI SPICED 70 CL</t>
  </si>
  <si>
    <t>RON BARCELO AÑEJO 70 CL</t>
  </si>
  <si>
    <t>RON BARCELO IMPERIAL ONYX 70 CL</t>
  </si>
  <si>
    <t>RON HAVANA CLUB 3 AÑOS 70 CL</t>
  </si>
  <si>
    <t>RON HAVANA CLUB 7 AÑOS 70 CL</t>
  </si>
  <si>
    <t>RON PLANTATION ORIGINAL DARK 100 CL</t>
  </si>
  <si>
    <t>RON SANTA TERESA GRAN RVA 75 CL</t>
  </si>
  <si>
    <t>TEQUILA REPOSADO JOSE CUERVO ESPECIAL 70 CL</t>
  </si>
  <si>
    <t>VINO BCO CARPATHIA 75 CL</t>
  </si>
  <si>
    <t>VINO BCO RENE BARBIER MEDITERRANEAN 75 CL</t>
  </si>
  <si>
    <t>VINO BCO SECO PARAMUS 75 CL</t>
  </si>
  <si>
    <t>VINO RDO CARPATHIA 75 CL</t>
  </si>
  <si>
    <t>VINO RDO PARAMUS 75 CL</t>
  </si>
  <si>
    <t>VINO TTO CARPATHIA 75 CL</t>
  </si>
  <si>
    <t>VINO TTO PARAMUS 75 CL</t>
  </si>
  <si>
    <t>BIB SANGRIA ESPECIAL 9º</t>
  </si>
  <si>
    <t>BIB VINO TTO 12º</t>
  </si>
  <si>
    <t>VODKA ABSOLUT AZUL 70 CL</t>
  </si>
  <si>
    <t>VODKA BELVEDERE 70 CL</t>
  </si>
  <si>
    <t>VODKA ERISTOFF 70 CL</t>
  </si>
  <si>
    <t>VODKA GREY GOOSE 70 CL</t>
  </si>
  <si>
    <t>WHISKY BALLANTINES 70 CL</t>
  </si>
  <si>
    <t>WHISKY CARDHU MALTA 70 CL</t>
  </si>
  <si>
    <t>WHISKY CHIVAS REGAL 12 AÑOS 70 CL</t>
  </si>
  <si>
    <t>WHISKY DEWARS 12 AÑOS 70 CL</t>
  </si>
  <si>
    <t>WHISKY DEWARS WHITE LABEL 70 CL</t>
  </si>
  <si>
    <t>WHISKY JACK DANIELS 70 CL</t>
  </si>
  <si>
    <t>WHISKY JAMESON 70 CL</t>
  </si>
  <si>
    <t>WHISKY JIM BEAM 70 CL</t>
  </si>
  <si>
    <t>WHISKY JOHNNIE WALKER BLACK LABEL 70 CL</t>
  </si>
  <si>
    <t>WHISKY JOHNNIE WALKER RED LABEL 70 CL</t>
  </si>
  <si>
    <t>BIB ZUMO CONCENTRADO 100% MANZANA 10 LT</t>
  </si>
  <si>
    <t>BIB ZUMO CONCENTRADO NARANJA 100% 10 LT</t>
  </si>
  <si>
    <t>BIB ZUMO CONCENTRADO PIÑA 100% 10 LT</t>
  </si>
  <si>
    <t>ZUMO LIMON CRISTAL 100 CL</t>
  </si>
  <si>
    <t>ZUMO TOMATE 100 CL</t>
  </si>
  <si>
    <t>ESTOCAJE  INICIAL</t>
  </si>
  <si>
    <t>X</t>
  </si>
  <si>
    <t>J</t>
  </si>
  <si>
    <t>V</t>
  </si>
  <si>
    <t>S</t>
  </si>
  <si>
    <t>D</t>
  </si>
  <si>
    <t>L</t>
  </si>
  <si>
    <t>M</t>
  </si>
  <si>
    <t>EXTRACION
  MENSUAL</t>
  </si>
  <si>
    <t xml:space="preserve">suma  stok inicial
+  estracion mensual   </t>
  </si>
  <si>
    <t>VALOR</t>
  </si>
  <si>
    <t>BAR SALON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</si>
</sst>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scheme val="minor"/>
    </font>
    <font>
      <sz val="11"/>
      <color rgb="FF000000"/>
      <name val="Calibri"/>
    </font>
    <font>
      <sz val="11"/>
      <color theme="1"/>
      <name val="Calibri"/>
      <scheme val="minor"/>
    </font>
    <font>
      <b/>
      <sz val="18"/>
      <color rgb="FF333399"/>
      <name val="Calibri"/>
    </font>
    <font>
      <b/>
      <sz val="11"/>
      <color rgb="FFFFFFFF"/>
      <name val="Calibri"/>
    </font>
    <font>
      <sz val="11"/>
      <color theme="1"/>
      <name val="Calibri"/>
    </font>
    <font>
      <sz val="11"/>
      <color theme="1"/>
      <name val="Calibri"/>
    </font>
    <font>
      <sz val="7"/>
      <color theme="1"/>
      <name val="Calibri"/>
    </font>
    <font>
      <sz val="11"/>
      <name val="Calibri"/>
    </font>
    <font>
      <b/>
      <sz val="11"/>
      <color theme="1"/>
      <name val="Arial Black"/>
    </font>
    <font>
      <b/>
      <sz val="7"/>
      <color theme="1"/>
      <name val="Arial Black"/>
    </font>
    <font>
      <b/>
      <sz val="8"/>
      <color theme="1"/>
      <name val="Arial Black"/>
    </font>
    <font>
      <b/>
      <sz val="11"/>
      <color theme="1"/>
      <name val="Calibri"/>
    </font>
    <font>
      <sz val="11"/>
      <color rgb="FF000000"/>
      <name val="Calibri"/>
      <family val="2"/>
    </font>
    <font>
      <b/>
      <sz val="16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2855"/>
        <bgColor rgb="FF002855"/>
      </patternFill>
    </fill>
    <fill>
      <patternFill patternType="solid">
        <fgColor rgb="FFB7B7B7"/>
        <bgColor rgb="FFB7B7B7"/>
      </patternFill>
    </fill>
    <fill>
      <patternFill patternType="solid">
        <fgColor rgb="FFD0E0E3"/>
        <bgColor rgb="FFD0E0E3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D9EAD3"/>
        <bgColor rgb="FFD9EAD3"/>
      </patternFill>
    </fill>
    <fill>
      <patternFill patternType="solid">
        <fgColor rgb="FFFFC000"/>
        <bgColor rgb="FFFFE599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4" fontId="13" fillId="0" borderId="0" xfId="0" applyNumberFormat="1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4" fontId="4" fillId="3" borderId="4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" fontId="5" fillId="0" borderId="1" xfId="0" applyNumberFormat="1" applyFont="1" applyBorder="1" applyAlignment="1">
      <alignment horizontal="center" vertical="center"/>
    </xf>
    <xf numFmtId="4" fontId="1" fillId="8" borderId="0" xfId="0" applyNumberFormat="1" applyFont="1" applyFill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9" fillId="5" borderId="6" xfId="0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7" borderId="9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2" fontId="12" fillId="4" borderId="1" xfId="0" applyNumberFormat="1" applyFont="1" applyFill="1" applyBorder="1" applyAlignment="1">
      <alignment horizontal="center" vertical="center"/>
    </xf>
    <xf numFmtId="2" fontId="2" fillId="3" borderId="0" xfId="0" applyNumberFormat="1" applyFont="1" applyFill="1" applyAlignment="1">
      <alignment horizontal="center" vertical="center"/>
    </xf>
    <xf numFmtId="0" fontId="10" fillId="5" borderId="7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11" fillId="5" borderId="7" xfId="0" applyFont="1" applyFill="1" applyBorder="1" applyAlignment="1">
      <alignment horizontal="center" vertical="center"/>
    </xf>
    <xf numFmtId="2" fontId="9" fillId="5" borderId="10" xfId="0" applyNumberFormat="1" applyFont="1" applyFill="1" applyBorder="1" applyAlignment="1">
      <alignment horizontal="center" vertical="center"/>
    </xf>
    <xf numFmtId="2" fontId="9" fillId="5" borderId="9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129540</xdr:colOff>
      <xdr:row>0</xdr:row>
      <xdr:rowOff>0</xdr:rowOff>
    </xdr:from>
    <xdr:ext cx="510540" cy="541020"/>
    <xdr:pic>
      <xdr:nvPicPr>
        <xdr:cNvPr id="3" name="image1.png">
          <a:extLst>
            <a:ext uri="{FF2B5EF4-FFF2-40B4-BE49-F238E27FC236}">
              <a16:creationId xmlns:a16="http://schemas.microsoft.com/office/drawing/2014/main" id="{D6982F7A-E042-40C2-95CF-8A5E5CD4FFD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9540" y="0"/>
          <a:ext cx="510540" cy="54102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1"/>
  <sheetViews>
    <sheetView tabSelected="1" topLeftCell="A184" zoomScale="70" zoomScaleNormal="70" workbookViewId="0">
      <pane xSplit="6" topLeftCell="G1" activePane="topRight" state="frozen"/>
      <selection pane="topRight" activeCell="F200" sqref="F200"/>
    </sheetView>
  </sheetViews>
  <sheetFormatPr baseColWidth="10" defaultColWidth="14.44140625" defaultRowHeight="15" customHeight="1" x14ac:dyDescent="0.3"/>
  <cols>
    <col min="1" max="1" width="10.77734375" style="1" customWidth="1"/>
    <col min="2" max="2" width="60.77734375" style="1" customWidth="1"/>
    <col min="3" max="6" width="15.77734375" style="1" customWidth="1"/>
    <col min="7" max="37" width="5.77734375" style="1" customWidth="1"/>
    <col min="38" max="38" width="25.77734375" style="1" customWidth="1"/>
    <col min="39" max="39" width="40.77734375" style="1" customWidth="1"/>
    <col min="40" max="40" width="15.77734375" style="1" customWidth="1"/>
    <col min="41" max="16384" width="14.44140625" style="1"/>
  </cols>
  <sheetData>
    <row r="1" spans="1:40" ht="25.05" customHeight="1" x14ac:dyDescent="0.3">
      <c r="E1" s="2"/>
      <c r="F1" s="2"/>
    </row>
    <row r="2" spans="1:40" ht="25.05" customHeight="1" x14ac:dyDescent="0.3">
      <c r="E2" s="2"/>
      <c r="F2" s="2"/>
    </row>
    <row r="3" spans="1:40" ht="25.05" customHeight="1" x14ac:dyDescent="0.3">
      <c r="E3" s="2"/>
      <c r="F3" s="2"/>
    </row>
    <row r="4" spans="1:40" ht="25.05" customHeight="1" x14ac:dyDescent="0.3">
      <c r="B4" s="14" t="s">
        <v>209</v>
      </c>
      <c r="E4" s="2"/>
      <c r="F4" s="2"/>
      <c r="H4" s="19"/>
    </row>
    <row r="5" spans="1:40" ht="25.05" customHeight="1" x14ac:dyDescent="0.3">
      <c r="E5" s="2"/>
      <c r="F5" s="2"/>
      <c r="G5" s="15" t="s">
        <v>199</v>
      </c>
      <c r="H5" s="15" t="s">
        <v>200</v>
      </c>
      <c r="I5" s="15" t="s">
        <v>201</v>
      </c>
      <c r="J5" s="16" t="s">
        <v>202</v>
      </c>
      <c r="K5" s="16" t="s">
        <v>203</v>
      </c>
      <c r="L5" s="17" t="s">
        <v>204</v>
      </c>
      <c r="M5" s="15" t="s">
        <v>205</v>
      </c>
      <c r="N5" s="15" t="s">
        <v>199</v>
      </c>
      <c r="O5" s="15" t="s">
        <v>200</v>
      </c>
      <c r="P5" s="15" t="s">
        <v>201</v>
      </c>
      <c r="Q5" s="16" t="s">
        <v>202</v>
      </c>
      <c r="R5" s="16" t="s">
        <v>203</v>
      </c>
      <c r="S5" s="17" t="s">
        <v>204</v>
      </c>
      <c r="T5" s="15" t="s">
        <v>205</v>
      </c>
      <c r="U5" s="15" t="s">
        <v>199</v>
      </c>
      <c r="V5" s="15" t="s">
        <v>200</v>
      </c>
      <c r="W5" s="15" t="s">
        <v>201</v>
      </c>
      <c r="X5" s="16" t="s">
        <v>202</v>
      </c>
      <c r="Y5" s="16" t="s">
        <v>203</v>
      </c>
      <c r="Z5" s="17" t="s">
        <v>204</v>
      </c>
      <c r="AA5" s="15" t="s">
        <v>205</v>
      </c>
      <c r="AB5" s="15" t="s">
        <v>199</v>
      </c>
      <c r="AC5" s="15" t="s">
        <v>200</v>
      </c>
      <c r="AD5" s="15" t="s">
        <v>201</v>
      </c>
      <c r="AE5" s="16" t="s">
        <v>202</v>
      </c>
      <c r="AF5" s="16" t="s">
        <v>203</v>
      </c>
      <c r="AG5" s="17" t="s">
        <v>204</v>
      </c>
      <c r="AH5" s="15" t="s">
        <v>205</v>
      </c>
      <c r="AI5" s="15" t="s">
        <v>199</v>
      </c>
      <c r="AJ5" s="15" t="s">
        <v>200</v>
      </c>
      <c r="AK5" s="18" t="s">
        <v>201</v>
      </c>
      <c r="AL5" s="25" t="s">
        <v>206</v>
      </c>
      <c r="AM5" s="27" t="s">
        <v>207</v>
      </c>
      <c r="AN5" s="28" t="s">
        <v>208</v>
      </c>
    </row>
    <row r="6" spans="1:40" ht="25.05" customHeight="1" x14ac:dyDescent="0.3">
      <c r="A6" s="3" t="s">
        <v>0</v>
      </c>
      <c r="B6" s="3" t="s">
        <v>1</v>
      </c>
      <c r="C6" s="5" t="s">
        <v>2</v>
      </c>
      <c r="D6" s="6" t="s">
        <v>3</v>
      </c>
      <c r="E6" s="7" t="s">
        <v>4</v>
      </c>
      <c r="F6" s="7" t="s">
        <v>5</v>
      </c>
      <c r="G6" s="15">
        <v>1</v>
      </c>
      <c r="H6" s="15">
        <v>2</v>
      </c>
      <c r="I6" s="15">
        <v>3</v>
      </c>
      <c r="J6" s="16">
        <v>4</v>
      </c>
      <c r="K6" s="16">
        <v>5</v>
      </c>
      <c r="L6" s="15">
        <v>6</v>
      </c>
      <c r="M6" s="15">
        <v>7</v>
      </c>
      <c r="N6" s="15">
        <v>8</v>
      </c>
      <c r="O6" s="15">
        <v>9</v>
      </c>
      <c r="P6" s="15">
        <v>10</v>
      </c>
      <c r="Q6" s="16">
        <v>11</v>
      </c>
      <c r="R6" s="16">
        <v>12</v>
      </c>
      <c r="S6" s="15">
        <v>13</v>
      </c>
      <c r="T6" s="15">
        <v>14</v>
      </c>
      <c r="U6" s="15">
        <v>15</v>
      </c>
      <c r="V6" s="15">
        <v>16</v>
      </c>
      <c r="W6" s="15">
        <v>17</v>
      </c>
      <c r="X6" s="16">
        <v>18</v>
      </c>
      <c r="Y6" s="16">
        <v>19</v>
      </c>
      <c r="Z6" s="15">
        <v>20</v>
      </c>
      <c r="AA6" s="15">
        <v>21</v>
      </c>
      <c r="AB6" s="15">
        <v>22</v>
      </c>
      <c r="AC6" s="15">
        <v>23</v>
      </c>
      <c r="AD6" s="15">
        <v>24</v>
      </c>
      <c r="AE6" s="16">
        <v>25</v>
      </c>
      <c r="AF6" s="16">
        <v>26</v>
      </c>
      <c r="AG6" s="15">
        <v>27</v>
      </c>
      <c r="AH6" s="15">
        <v>28</v>
      </c>
      <c r="AI6" s="15">
        <v>29</v>
      </c>
      <c r="AJ6" s="15">
        <v>30</v>
      </c>
      <c r="AK6" s="18">
        <v>31</v>
      </c>
      <c r="AL6" s="26"/>
      <c r="AM6" s="26"/>
      <c r="AN6" s="29"/>
    </row>
    <row r="7" spans="1:40" ht="25.05" customHeight="1" x14ac:dyDescent="0.3">
      <c r="A7" s="4">
        <v>30756</v>
      </c>
      <c r="B7" s="4" t="s">
        <v>6</v>
      </c>
      <c r="C7" s="8">
        <v>0</v>
      </c>
      <c r="D7" s="9" t="s">
        <v>7</v>
      </c>
      <c r="E7" s="10">
        <v>1.0370000000000001E-2</v>
      </c>
      <c r="F7" s="13">
        <f t="shared" ref="F7:F190" si="0">C7*E7</f>
        <v>0</v>
      </c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1">
        <f t="shared" ref="AL7:AL190" si="1">SUM(G7:AK7)</f>
        <v>0</v>
      </c>
      <c r="AM7" s="22">
        <f t="shared" ref="AM7:AM190" si="2">SUM(C7,AL7)</f>
        <v>0</v>
      </c>
      <c r="AN7" s="23">
        <f t="shared" ref="AN7:AN190" si="3">E7*AM7</f>
        <v>0</v>
      </c>
    </row>
    <row r="8" spans="1:40" ht="25.05" customHeight="1" x14ac:dyDescent="0.3">
      <c r="A8" s="4">
        <v>14279</v>
      </c>
      <c r="B8" s="4" t="s">
        <v>8</v>
      </c>
      <c r="C8" s="8">
        <v>0</v>
      </c>
      <c r="D8" s="9" t="s">
        <v>7</v>
      </c>
      <c r="E8" s="10">
        <v>1.15E-2</v>
      </c>
      <c r="F8" s="13">
        <f t="shared" si="0"/>
        <v>0</v>
      </c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1">
        <f t="shared" si="1"/>
        <v>0</v>
      </c>
      <c r="AM8" s="22">
        <f t="shared" si="2"/>
        <v>0</v>
      </c>
      <c r="AN8" s="23">
        <f t="shared" si="3"/>
        <v>0</v>
      </c>
    </row>
    <row r="9" spans="1:40" ht="25.05" customHeight="1" x14ac:dyDescent="0.3">
      <c r="A9" s="4">
        <v>24274</v>
      </c>
      <c r="B9" s="4" t="s">
        <v>9</v>
      </c>
      <c r="C9" s="8">
        <v>0</v>
      </c>
      <c r="D9" s="9" t="s">
        <v>7</v>
      </c>
      <c r="E9" s="10">
        <v>1.371</v>
      </c>
      <c r="F9" s="13">
        <f t="shared" si="0"/>
        <v>0</v>
      </c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1">
        <f t="shared" si="1"/>
        <v>0</v>
      </c>
      <c r="AM9" s="22">
        <f t="shared" si="2"/>
        <v>0</v>
      </c>
      <c r="AN9" s="23">
        <f t="shared" si="3"/>
        <v>0</v>
      </c>
    </row>
    <row r="10" spans="1:40" ht="25.05" customHeight="1" x14ac:dyDescent="0.3">
      <c r="A10" s="4">
        <v>4223</v>
      </c>
      <c r="B10" s="4" t="s">
        <v>10</v>
      </c>
      <c r="C10" s="8">
        <v>0</v>
      </c>
      <c r="D10" s="9" t="s">
        <v>11</v>
      </c>
      <c r="E10" s="10">
        <v>9.369999</v>
      </c>
      <c r="F10" s="13">
        <f t="shared" si="0"/>
        <v>0</v>
      </c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1">
        <f t="shared" si="1"/>
        <v>0</v>
      </c>
      <c r="AM10" s="22">
        <f t="shared" si="2"/>
        <v>0</v>
      </c>
      <c r="AN10" s="23">
        <f t="shared" si="3"/>
        <v>0</v>
      </c>
    </row>
    <row r="11" spans="1:40" ht="25.05" customHeight="1" x14ac:dyDescent="0.3">
      <c r="A11" s="4">
        <v>26384</v>
      </c>
      <c r="B11" s="4" t="s">
        <v>12</v>
      </c>
      <c r="C11" s="8">
        <v>0</v>
      </c>
      <c r="D11" s="9" t="s">
        <v>11</v>
      </c>
      <c r="E11" s="10">
        <v>12.105</v>
      </c>
      <c r="F11" s="13">
        <f t="shared" si="0"/>
        <v>0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1">
        <f t="shared" si="1"/>
        <v>0</v>
      </c>
      <c r="AM11" s="22">
        <f t="shared" si="2"/>
        <v>0</v>
      </c>
      <c r="AN11" s="23">
        <f t="shared" si="3"/>
        <v>0</v>
      </c>
    </row>
    <row r="12" spans="1:40" ht="25.05" customHeight="1" x14ac:dyDescent="0.3">
      <c r="A12" s="4">
        <v>4835</v>
      </c>
      <c r="B12" s="4" t="s">
        <v>13</v>
      </c>
      <c r="C12" s="8">
        <v>0</v>
      </c>
      <c r="D12" s="9" t="s">
        <v>14</v>
      </c>
      <c r="E12" s="10">
        <v>1.0064930000000001</v>
      </c>
      <c r="F12" s="13">
        <f t="shared" si="0"/>
        <v>0</v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1">
        <f t="shared" si="1"/>
        <v>0</v>
      </c>
      <c r="AM12" s="22">
        <f t="shared" si="2"/>
        <v>0</v>
      </c>
      <c r="AN12" s="23">
        <f t="shared" si="3"/>
        <v>0</v>
      </c>
    </row>
    <row r="13" spans="1:40" ht="25.05" customHeight="1" x14ac:dyDescent="0.3">
      <c r="A13" s="4">
        <v>4066</v>
      </c>
      <c r="B13" s="4" t="s">
        <v>15</v>
      </c>
      <c r="C13" s="8">
        <v>0</v>
      </c>
      <c r="D13" s="9" t="s">
        <v>16</v>
      </c>
      <c r="E13" s="10">
        <v>3.2</v>
      </c>
      <c r="F13" s="13">
        <f t="shared" si="0"/>
        <v>0</v>
      </c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1">
        <f t="shared" si="1"/>
        <v>0</v>
      </c>
      <c r="AM13" s="22">
        <f t="shared" si="2"/>
        <v>0</v>
      </c>
      <c r="AN13" s="23">
        <f t="shared" si="3"/>
        <v>0</v>
      </c>
    </row>
    <row r="14" spans="1:40" ht="25.05" customHeight="1" x14ac:dyDescent="0.3">
      <c r="A14" s="4">
        <v>9558</v>
      </c>
      <c r="B14" s="4" t="s">
        <v>17</v>
      </c>
      <c r="C14" s="8">
        <v>0</v>
      </c>
      <c r="D14" s="9" t="s">
        <v>16</v>
      </c>
      <c r="E14" s="10">
        <v>2</v>
      </c>
      <c r="F14" s="13">
        <f t="shared" si="0"/>
        <v>0</v>
      </c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1">
        <f t="shared" si="1"/>
        <v>0</v>
      </c>
      <c r="AM14" s="22">
        <f t="shared" si="2"/>
        <v>0</v>
      </c>
      <c r="AN14" s="23">
        <f t="shared" si="3"/>
        <v>0</v>
      </c>
    </row>
    <row r="15" spans="1:40" ht="25.05" customHeight="1" x14ac:dyDescent="0.3">
      <c r="A15" s="4">
        <v>1865</v>
      </c>
      <c r="B15" s="4" t="s">
        <v>18</v>
      </c>
      <c r="C15" s="8">
        <v>0</v>
      </c>
      <c r="D15" s="9" t="s">
        <v>16</v>
      </c>
      <c r="E15" s="10">
        <v>0.95</v>
      </c>
      <c r="F15" s="13">
        <f t="shared" si="0"/>
        <v>0</v>
      </c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1">
        <f t="shared" si="1"/>
        <v>0</v>
      </c>
      <c r="AM15" s="22">
        <f t="shared" si="2"/>
        <v>0</v>
      </c>
      <c r="AN15" s="23">
        <f t="shared" si="3"/>
        <v>0</v>
      </c>
    </row>
    <row r="16" spans="1:40" ht="25.05" customHeight="1" x14ac:dyDescent="0.3">
      <c r="A16" s="4">
        <v>1878</v>
      </c>
      <c r="B16" s="4" t="s">
        <v>19</v>
      </c>
      <c r="C16" s="8">
        <v>0</v>
      </c>
      <c r="D16" s="9" t="s">
        <v>20</v>
      </c>
      <c r="E16" s="10">
        <v>1.05</v>
      </c>
      <c r="F16" s="13">
        <f t="shared" si="0"/>
        <v>0</v>
      </c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1">
        <f t="shared" si="1"/>
        <v>0</v>
      </c>
      <c r="AM16" s="22">
        <f t="shared" si="2"/>
        <v>0</v>
      </c>
      <c r="AN16" s="23">
        <f t="shared" si="3"/>
        <v>0</v>
      </c>
    </row>
    <row r="17" spans="1:40" ht="25.05" customHeight="1" x14ac:dyDescent="0.3">
      <c r="A17" s="4">
        <v>1026</v>
      </c>
      <c r="B17" s="4" t="s">
        <v>21</v>
      </c>
      <c r="C17" s="8">
        <v>0</v>
      </c>
      <c r="D17" s="9" t="s">
        <v>20</v>
      </c>
      <c r="E17" s="10">
        <v>2.25</v>
      </c>
      <c r="F17" s="13">
        <f t="shared" si="0"/>
        <v>0</v>
      </c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1">
        <f t="shared" si="1"/>
        <v>0</v>
      </c>
      <c r="AM17" s="22">
        <f t="shared" si="2"/>
        <v>0</v>
      </c>
      <c r="AN17" s="23">
        <f t="shared" si="3"/>
        <v>0</v>
      </c>
    </row>
    <row r="18" spans="1:40" ht="25.05" customHeight="1" x14ac:dyDescent="0.3">
      <c r="A18" s="4">
        <v>1008</v>
      </c>
      <c r="B18" s="4" t="s">
        <v>22</v>
      </c>
      <c r="C18" s="8">
        <v>0</v>
      </c>
      <c r="D18" s="9" t="s">
        <v>16</v>
      </c>
      <c r="E18" s="10">
        <v>2</v>
      </c>
      <c r="F18" s="13">
        <f t="shared" si="0"/>
        <v>0</v>
      </c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1">
        <f t="shared" si="1"/>
        <v>0</v>
      </c>
      <c r="AM18" s="22">
        <f t="shared" si="2"/>
        <v>0</v>
      </c>
      <c r="AN18" s="23">
        <f t="shared" si="3"/>
        <v>0</v>
      </c>
    </row>
    <row r="19" spans="1:40" ht="25.05" customHeight="1" x14ac:dyDescent="0.3">
      <c r="A19" s="4">
        <v>4740</v>
      </c>
      <c r="B19" s="4" t="s">
        <v>23</v>
      </c>
      <c r="C19" s="8">
        <v>0</v>
      </c>
      <c r="D19" s="9" t="s">
        <v>16</v>
      </c>
      <c r="E19" s="10">
        <v>9.4380000000000006</v>
      </c>
      <c r="F19" s="13">
        <f t="shared" si="0"/>
        <v>0</v>
      </c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1">
        <f t="shared" si="1"/>
        <v>0</v>
      </c>
      <c r="AM19" s="22">
        <f t="shared" si="2"/>
        <v>0</v>
      </c>
      <c r="AN19" s="23">
        <f t="shared" si="3"/>
        <v>0</v>
      </c>
    </row>
    <row r="20" spans="1:40" ht="25.05" customHeight="1" x14ac:dyDescent="0.3">
      <c r="A20" s="4">
        <v>24846</v>
      </c>
      <c r="B20" s="4" t="s">
        <v>24</v>
      </c>
      <c r="C20" s="8">
        <v>0</v>
      </c>
      <c r="D20" s="9" t="s">
        <v>16</v>
      </c>
      <c r="E20" s="10">
        <v>9.9</v>
      </c>
      <c r="F20" s="13">
        <f t="shared" si="0"/>
        <v>0</v>
      </c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1">
        <f t="shared" si="1"/>
        <v>0</v>
      </c>
      <c r="AM20" s="22">
        <f t="shared" si="2"/>
        <v>0</v>
      </c>
      <c r="AN20" s="23">
        <f t="shared" si="3"/>
        <v>0</v>
      </c>
    </row>
    <row r="21" spans="1:40" ht="25.05" customHeight="1" x14ac:dyDescent="0.3">
      <c r="A21" s="4">
        <v>3022</v>
      </c>
      <c r="B21" s="4" t="s">
        <v>25</v>
      </c>
      <c r="C21" s="8">
        <v>0</v>
      </c>
      <c r="D21" s="9" t="s">
        <v>16</v>
      </c>
      <c r="E21" s="10">
        <v>3.3</v>
      </c>
      <c r="F21" s="13">
        <f t="shared" si="0"/>
        <v>0</v>
      </c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1">
        <f t="shared" si="1"/>
        <v>0</v>
      </c>
      <c r="AM21" s="22">
        <f t="shared" si="2"/>
        <v>0</v>
      </c>
      <c r="AN21" s="23">
        <f t="shared" si="3"/>
        <v>0</v>
      </c>
    </row>
    <row r="22" spans="1:40" ht="25.05" customHeight="1" x14ac:dyDescent="0.3">
      <c r="A22" s="4">
        <v>15647</v>
      </c>
      <c r="B22" s="4" t="s">
        <v>26</v>
      </c>
      <c r="C22" s="8">
        <v>0</v>
      </c>
      <c r="D22" s="9" t="s">
        <v>16</v>
      </c>
      <c r="E22" s="10">
        <v>7.1609999999999996</v>
      </c>
      <c r="F22" s="13">
        <f t="shared" si="0"/>
        <v>0</v>
      </c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1">
        <f t="shared" si="1"/>
        <v>0</v>
      </c>
      <c r="AM22" s="22">
        <f t="shared" si="2"/>
        <v>0</v>
      </c>
      <c r="AN22" s="23">
        <f t="shared" si="3"/>
        <v>0</v>
      </c>
    </row>
    <row r="23" spans="1:40" ht="25.05" customHeight="1" x14ac:dyDescent="0.3">
      <c r="A23" s="4">
        <v>572</v>
      </c>
      <c r="B23" s="4" t="s">
        <v>27</v>
      </c>
      <c r="C23" s="8">
        <v>0</v>
      </c>
      <c r="D23" s="9" t="s">
        <v>16</v>
      </c>
      <c r="E23" s="10">
        <v>2.508</v>
      </c>
      <c r="F23" s="13">
        <f t="shared" si="0"/>
        <v>0</v>
      </c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1">
        <f t="shared" si="1"/>
        <v>0</v>
      </c>
      <c r="AM23" s="22">
        <f t="shared" si="2"/>
        <v>0</v>
      </c>
      <c r="AN23" s="23">
        <f t="shared" si="3"/>
        <v>0</v>
      </c>
    </row>
    <row r="24" spans="1:40" ht="25.05" customHeight="1" x14ac:dyDescent="0.3">
      <c r="A24" s="4">
        <v>26296</v>
      </c>
      <c r="B24" s="4" t="s">
        <v>28</v>
      </c>
      <c r="C24" s="8">
        <v>0</v>
      </c>
      <c r="D24" s="9" t="s">
        <v>16</v>
      </c>
      <c r="E24" s="10">
        <v>40.6</v>
      </c>
      <c r="F24" s="13">
        <f t="shared" si="0"/>
        <v>0</v>
      </c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1">
        <f t="shared" si="1"/>
        <v>0</v>
      </c>
      <c r="AM24" s="22">
        <f t="shared" si="2"/>
        <v>0</v>
      </c>
      <c r="AN24" s="23">
        <f t="shared" si="3"/>
        <v>0</v>
      </c>
    </row>
    <row r="25" spans="1:40" ht="25.05" customHeight="1" x14ac:dyDescent="0.3">
      <c r="A25" s="4">
        <v>26297</v>
      </c>
      <c r="B25" s="4" t="s">
        <v>29</v>
      </c>
      <c r="C25" s="8">
        <v>0</v>
      </c>
      <c r="D25" s="9" t="s">
        <v>16</v>
      </c>
      <c r="E25" s="10">
        <v>37.9</v>
      </c>
      <c r="F25" s="13">
        <f t="shared" si="0"/>
        <v>0</v>
      </c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1">
        <f t="shared" si="1"/>
        <v>0</v>
      </c>
      <c r="AM25" s="22">
        <f t="shared" si="2"/>
        <v>0</v>
      </c>
      <c r="AN25" s="23">
        <f t="shared" si="3"/>
        <v>0</v>
      </c>
    </row>
    <row r="26" spans="1:40" ht="25.05" customHeight="1" x14ac:dyDescent="0.3">
      <c r="A26" s="4">
        <v>2109</v>
      </c>
      <c r="B26" s="4" t="s">
        <v>30</v>
      </c>
      <c r="C26" s="8">
        <v>0</v>
      </c>
      <c r="D26" s="9" t="s">
        <v>16</v>
      </c>
      <c r="E26" s="10">
        <v>3.036</v>
      </c>
      <c r="F26" s="13">
        <f t="shared" si="0"/>
        <v>0</v>
      </c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1">
        <f t="shared" si="1"/>
        <v>0</v>
      </c>
      <c r="AM26" s="22">
        <f t="shared" si="2"/>
        <v>0</v>
      </c>
      <c r="AN26" s="23">
        <f t="shared" si="3"/>
        <v>0</v>
      </c>
    </row>
    <row r="27" spans="1:40" ht="25.05" customHeight="1" x14ac:dyDescent="0.3">
      <c r="A27" s="4">
        <v>11923</v>
      </c>
      <c r="B27" s="4" t="s">
        <v>31</v>
      </c>
      <c r="C27" s="8">
        <v>0</v>
      </c>
      <c r="D27" s="9" t="s">
        <v>16</v>
      </c>
      <c r="E27" s="10">
        <v>34.4</v>
      </c>
      <c r="F27" s="13">
        <f t="shared" si="0"/>
        <v>0</v>
      </c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1">
        <f t="shared" si="1"/>
        <v>0</v>
      </c>
      <c r="AM27" s="22">
        <f t="shared" si="2"/>
        <v>0</v>
      </c>
      <c r="AN27" s="23">
        <f t="shared" si="3"/>
        <v>0</v>
      </c>
    </row>
    <row r="28" spans="1:40" ht="25.05" customHeight="1" x14ac:dyDescent="0.3">
      <c r="A28" s="4">
        <v>9192</v>
      </c>
      <c r="B28" s="4" t="s">
        <v>32</v>
      </c>
      <c r="C28" s="8">
        <v>0</v>
      </c>
      <c r="D28" s="9" t="s">
        <v>16</v>
      </c>
      <c r="E28" s="10">
        <v>5.577</v>
      </c>
      <c r="F28" s="13">
        <f t="shared" si="0"/>
        <v>0</v>
      </c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1">
        <f t="shared" si="1"/>
        <v>0</v>
      </c>
      <c r="AM28" s="22">
        <f t="shared" si="2"/>
        <v>0</v>
      </c>
      <c r="AN28" s="23">
        <f t="shared" si="3"/>
        <v>0</v>
      </c>
    </row>
    <row r="29" spans="1:40" ht="25.05" customHeight="1" x14ac:dyDescent="0.3">
      <c r="A29" s="4">
        <v>9193</v>
      </c>
      <c r="B29" s="4" t="s">
        <v>33</v>
      </c>
      <c r="C29" s="8">
        <v>0</v>
      </c>
      <c r="D29" s="9" t="s">
        <v>16</v>
      </c>
      <c r="E29" s="10">
        <v>6.5336809999999996</v>
      </c>
      <c r="F29" s="13">
        <f t="shared" si="0"/>
        <v>0</v>
      </c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1">
        <f t="shared" si="1"/>
        <v>0</v>
      </c>
      <c r="AM29" s="22">
        <f t="shared" si="2"/>
        <v>0</v>
      </c>
      <c r="AN29" s="23">
        <f t="shared" si="3"/>
        <v>0</v>
      </c>
    </row>
    <row r="30" spans="1:40" ht="25.05" customHeight="1" x14ac:dyDescent="0.3">
      <c r="A30" s="4">
        <v>25822</v>
      </c>
      <c r="B30" s="4" t="s">
        <v>34</v>
      </c>
      <c r="C30" s="8">
        <v>0</v>
      </c>
      <c r="D30" s="9" t="s">
        <v>16</v>
      </c>
      <c r="E30" s="10">
        <v>59.7</v>
      </c>
      <c r="F30" s="13">
        <f t="shared" si="0"/>
        <v>0</v>
      </c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1">
        <f t="shared" si="1"/>
        <v>0</v>
      </c>
      <c r="AM30" s="22">
        <f t="shared" si="2"/>
        <v>0</v>
      </c>
      <c r="AN30" s="23">
        <f t="shared" si="3"/>
        <v>0</v>
      </c>
    </row>
    <row r="31" spans="1:40" ht="25.05" customHeight="1" x14ac:dyDescent="0.3">
      <c r="A31" s="4">
        <v>3160</v>
      </c>
      <c r="B31" s="4" t="s">
        <v>35</v>
      </c>
      <c r="C31" s="8">
        <v>0</v>
      </c>
      <c r="D31" s="9" t="s">
        <v>16</v>
      </c>
      <c r="E31" s="10">
        <v>25.965599999999998</v>
      </c>
      <c r="F31" s="13">
        <f t="shared" si="0"/>
        <v>0</v>
      </c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1">
        <f t="shared" si="1"/>
        <v>0</v>
      </c>
      <c r="AM31" s="22">
        <f t="shared" si="2"/>
        <v>0</v>
      </c>
      <c r="AN31" s="23">
        <f t="shared" si="3"/>
        <v>0</v>
      </c>
    </row>
    <row r="32" spans="1:40" ht="25.05" customHeight="1" x14ac:dyDescent="0.3">
      <c r="A32" s="4">
        <v>6976</v>
      </c>
      <c r="B32" s="4" t="s">
        <v>36</v>
      </c>
      <c r="C32" s="8">
        <v>0</v>
      </c>
      <c r="D32" s="9" t="s">
        <v>16</v>
      </c>
      <c r="E32" s="10">
        <v>3.5480399999999999</v>
      </c>
      <c r="F32" s="13">
        <f t="shared" si="0"/>
        <v>0</v>
      </c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1">
        <f t="shared" si="1"/>
        <v>0</v>
      </c>
      <c r="AM32" s="22">
        <f t="shared" si="2"/>
        <v>0</v>
      </c>
      <c r="AN32" s="23">
        <f t="shared" si="3"/>
        <v>0</v>
      </c>
    </row>
    <row r="33" spans="1:40" ht="25.05" customHeight="1" x14ac:dyDescent="0.3">
      <c r="A33" s="4">
        <v>26298</v>
      </c>
      <c r="B33" s="4" t="s">
        <v>37</v>
      </c>
      <c r="C33" s="8">
        <v>0</v>
      </c>
      <c r="D33" s="9" t="s">
        <v>16</v>
      </c>
      <c r="E33" s="10">
        <v>42.05</v>
      </c>
      <c r="F33" s="13">
        <f t="shared" si="0"/>
        <v>0</v>
      </c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1">
        <f t="shared" si="1"/>
        <v>0</v>
      </c>
      <c r="AM33" s="22">
        <f t="shared" si="2"/>
        <v>0</v>
      </c>
      <c r="AN33" s="23">
        <f t="shared" si="3"/>
        <v>0</v>
      </c>
    </row>
    <row r="34" spans="1:40" ht="25.05" customHeight="1" x14ac:dyDescent="0.3">
      <c r="A34" s="4">
        <v>8376</v>
      </c>
      <c r="B34" s="4" t="s">
        <v>38</v>
      </c>
      <c r="C34" s="8">
        <v>0</v>
      </c>
      <c r="D34" s="9" t="s">
        <v>16</v>
      </c>
      <c r="E34" s="10">
        <v>7.26</v>
      </c>
      <c r="F34" s="13">
        <f t="shared" si="0"/>
        <v>0</v>
      </c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1">
        <f t="shared" si="1"/>
        <v>0</v>
      </c>
      <c r="AM34" s="22">
        <f t="shared" si="2"/>
        <v>0</v>
      </c>
      <c r="AN34" s="23">
        <f t="shared" si="3"/>
        <v>0</v>
      </c>
    </row>
    <row r="35" spans="1:40" ht="25.05" customHeight="1" x14ac:dyDescent="0.3">
      <c r="A35" s="4">
        <v>26443</v>
      </c>
      <c r="B35" s="4" t="s">
        <v>39</v>
      </c>
      <c r="C35" s="8">
        <v>0</v>
      </c>
      <c r="D35" s="9" t="s">
        <v>40</v>
      </c>
      <c r="E35" s="10">
        <v>0.47660000000000002</v>
      </c>
      <c r="F35" s="13">
        <f t="shared" si="0"/>
        <v>0</v>
      </c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1">
        <f t="shared" si="1"/>
        <v>0</v>
      </c>
      <c r="AM35" s="22">
        <f t="shared" si="2"/>
        <v>0</v>
      </c>
      <c r="AN35" s="23">
        <f t="shared" si="3"/>
        <v>0</v>
      </c>
    </row>
    <row r="36" spans="1:40" ht="25.05" customHeight="1" x14ac:dyDescent="0.3">
      <c r="A36" s="4">
        <v>8373</v>
      </c>
      <c r="B36" s="4" t="s">
        <v>41</v>
      </c>
      <c r="C36" s="8">
        <v>0</v>
      </c>
      <c r="D36" s="9" t="s">
        <v>11</v>
      </c>
      <c r="E36" s="10">
        <v>2.5059999999999998</v>
      </c>
      <c r="F36" s="13">
        <f t="shared" si="0"/>
        <v>0</v>
      </c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1">
        <f t="shared" si="1"/>
        <v>0</v>
      </c>
      <c r="AM36" s="22">
        <f t="shared" si="2"/>
        <v>0</v>
      </c>
      <c r="AN36" s="23">
        <f t="shared" si="3"/>
        <v>0</v>
      </c>
    </row>
    <row r="37" spans="1:40" ht="25.05" customHeight="1" x14ac:dyDescent="0.3">
      <c r="A37" s="4">
        <v>26915</v>
      </c>
      <c r="B37" s="4" t="s">
        <v>42</v>
      </c>
      <c r="C37" s="8">
        <v>0</v>
      </c>
      <c r="D37" s="9" t="s">
        <v>11</v>
      </c>
      <c r="E37" s="10">
        <v>3.85</v>
      </c>
      <c r="F37" s="13">
        <f t="shared" si="0"/>
        <v>0</v>
      </c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1">
        <f t="shared" si="1"/>
        <v>0</v>
      </c>
      <c r="AM37" s="22">
        <f t="shared" si="2"/>
        <v>0</v>
      </c>
      <c r="AN37" s="23">
        <f t="shared" si="3"/>
        <v>0</v>
      </c>
    </row>
    <row r="38" spans="1:40" ht="25.05" customHeight="1" x14ac:dyDescent="0.3">
      <c r="A38" s="4">
        <v>11204</v>
      </c>
      <c r="B38" s="4" t="s">
        <v>43</v>
      </c>
      <c r="C38" s="8">
        <v>0</v>
      </c>
      <c r="D38" s="9" t="s">
        <v>16</v>
      </c>
      <c r="E38" s="10">
        <v>4.72</v>
      </c>
      <c r="F38" s="13">
        <f t="shared" si="0"/>
        <v>0</v>
      </c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1">
        <f t="shared" si="1"/>
        <v>0</v>
      </c>
      <c r="AM38" s="22">
        <f t="shared" si="2"/>
        <v>0</v>
      </c>
      <c r="AN38" s="23">
        <f t="shared" si="3"/>
        <v>0</v>
      </c>
    </row>
    <row r="39" spans="1:40" ht="25.05" customHeight="1" x14ac:dyDescent="0.3">
      <c r="A39" s="4">
        <v>24683</v>
      </c>
      <c r="B39" s="4" t="s">
        <v>44</v>
      </c>
      <c r="C39" s="8">
        <v>0</v>
      </c>
      <c r="D39" s="9" t="s">
        <v>45</v>
      </c>
      <c r="E39" s="10">
        <v>0.94</v>
      </c>
      <c r="F39" s="13">
        <f t="shared" si="0"/>
        <v>0</v>
      </c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1">
        <f t="shared" si="1"/>
        <v>0</v>
      </c>
      <c r="AM39" s="22">
        <f t="shared" si="2"/>
        <v>0</v>
      </c>
      <c r="AN39" s="23">
        <f t="shared" si="3"/>
        <v>0</v>
      </c>
    </row>
    <row r="40" spans="1:40" ht="25.05" customHeight="1" x14ac:dyDescent="0.3">
      <c r="A40" s="4">
        <v>17277</v>
      </c>
      <c r="B40" s="4" t="s">
        <v>46</v>
      </c>
      <c r="C40" s="8">
        <v>0</v>
      </c>
      <c r="D40" s="9" t="s">
        <v>14</v>
      </c>
      <c r="E40" s="10">
        <v>1.209042</v>
      </c>
      <c r="F40" s="13">
        <f t="shared" si="0"/>
        <v>0</v>
      </c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1">
        <f t="shared" si="1"/>
        <v>0</v>
      </c>
      <c r="AM40" s="22">
        <f t="shared" si="2"/>
        <v>0</v>
      </c>
      <c r="AN40" s="23">
        <f t="shared" si="3"/>
        <v>0</v>
      </c>
    </row>
    <row r="41" spans="1:40" ht="25.05" customHeight="1" x14ac:dyDescent="0.3">
      <c r="A41" s="4">
        <v>10043</v>
      </c>
      <c r="B41" s="4" t="s">
        <v>47</v>
      </c>
      <c r="C41" s="8">
        <v>0</v>
      </c>
      <c r="D41" s="9" t="s">
        <v>14</v>
      </c>
      <c r="E41" s="10">
        <v>1.162183</v>
      </c>
      <c r="F41" s="13">
        <f t="shared" si="0"/>
        <v>0</v>
      </c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1">
        <f t="shared" si="1"/>
        <v>0</v>
      </c>
      <c r="AM41" s="22">
        <f t="shared" si="2"/>
        <v>0</v>
      </c>
      <c r="AN41" s="23">
        <f t="shared" si="3"/>
        <v>0</v>
      </c>
    </row>
    <row r="42" spans="1:40" ht="25.05" customHeight="1" x14ac:dyDescent="0.3">
      <c r="A42" s="4">
        <v>11952</v>
      </c>
      <c r="B42" s="4" t="s">
        <v>48</v>
      </c>
      <c r="C42" s="8">
        <v>0</v>
      </c>
      <c r="D42" s="9" t="s">
        <v>16</v>
      </c>
      <c r="E42" s="10">
        <v>10.87</v>
      </c>
      <c r="F42" s="13">
        <f t="shared" si="0"/>
        <v>0</v>
      </c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1">
        <f t="shared" si="1"/>
        <v>0</v>
      </c>
      <c r="AM42" s="22">
        <f t="shared" si="2"/>
        <v>0</v>
      </c>
      <c r="AN42" s="23">
        <f t="shared" si="3"/>
        <v>0</v>
      </c>
    </row>
    <row r="43" spans="1:40" ht="25.05" customHeight="1" x14ac:dyDescent="0.3">
      <c r="A43" s="4">
        <v>5919</v>
      </c>
      <c r="B43" s="4" t="s">
        <v>49</v>
      </c>
      <c r="C43" s="8">
        <v>0</v>
      </c>
      <c r="D43" s="9" t="s">
        <v>14</v>
      </c>
      <c r="E43" s="10">
        <v>0.94</v>
      </c>
      <c r="F43" s="13">
        <f t="shared" si="0"/>
        <v>0</v>
      </c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1">
        <f t="shared" si="1"/>
        <v>0</v>
      </c>
      <c r="AM43" s="22">
        <f t="shared" si="2"/>
        <v>0</v>
      </c>
      <c r="AN43" s="23">
        <f t="shared" si="3"/>
        <v>0</v>
      </c>
    </row>
    <row r="44" spans="1:40" ht="25.05" customHeight="1" x14ac:dyDescent="0.3">
      <c r="A44" s="4">
        <v>11082</v>
      </c>
      <c r="B44" s="4" t="s">
        <v>50</v>
      </c>
      <c r="C44" s="8">
        <v>0</v>
      </c>
      <c r="D44" s="9" t="s">
        <v>14</v>
      </c>
      <c r="E44" s="10">
        <v>1.146622</v>
      </c>
      <c r="F44" s="13">
        <f t="shared" si="0"/>
        <v>0</v>
      </c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1">
        <f t="shared" si="1"/>
        <v>0</v>
      </c>
      <c r="AM44" s="22">
        <f t="shared" si="2"/>
        <v>0</v>
      </c>
      <c r="AN44" s="23">
        <f t="shared" si="3"/>
        <v>0</v>
      </c>
    </row>
    <row r="45" spans="1:40" ht="25.05" customHeight="1" x14ac:dyDescent="0.3">
      <c r="A45" s="4">
        <v>6499</v>
      </c>
      <c r="B45" s="4" t="s">
        <v>51</v>
      </c>
      <c r="C45" s="8">
        <v>0</v>
      </c>
      <c r="D45" s="9" t="s">
        <v>52</v>
      </c>
      <c r="E45" s="10">
        <v>0.58962899999999996</v>
      </c>
      <c r="F45" s="13">
        <f t="shared" si="0"/>
        <v>0</v>
      </c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1">
        <f t="shared" si="1"/>
        <v>0</v>
      </c>
      <c r="AM45" s="22">
        <f t="shared" si="2"/>
        <v>0</v>
      </c>
      <c r="AN45" s="23">
        <f t="shared" si="3"/>
        <v>0</v>
      </c>
    </row>
    <row r="46" spans="1:40" ht="25.05" customHeight="1" x14ac:dyDescent="0.3">
      <c r="A46" s="4">
        <v>4916</v>
      </c>
      <c r="B46" s="4" t="s">
        <v>53</v>
      </c>
      <c r="C46" s="8">
        <v>0</v>
      </c>
      <c r="D46" s="9" t="s">
        <v>52</v>
      </c>
      <c r="E46" s="10">
        <v>11.55</v>
      </c>
      <c r="F46" s="13">
        <f t="shared" si="0"/>
        <v>0</v>
      </c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1">
        <f t="shared" si="1"/>
        <v>0</v>
      </c>
      <c r="AM46" s="22">
        <f t="shared" si="2"/>
        <v>0</v>
      </c>
      <c r="AN46" s="23">
        <f t="shared" si="3"/>
        <v>0</v>
      </c>
    </row>
    <row r="47" spans="1:40" ht="25.05" customHeight="1" x14ac:dyDescent="0.3">
      <c r="A47" s="4">
        <v>13385</v>
      </c>
      <c r="B47" s="4" t="s">
        <v>54</v>
      </c>
      <c r="C47" s="8">
        <v>0</v>
      </c>
      <c r="D47" s="9" t="s">
        <v>52</v>
      </c>
      <c r="E47" s="10">
        <v>11.03158</v>
      </c>
      <c r="F47" s="13">
        <f t="shared" si="0"/>
        <v>0</v>
      </c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1">
        <f t="shared" si="1"/>
        <v>0</v>
      </c>
      <c r="AM47" s="22">
        <f t="shared" si="2"/>
        <v>0</v>
      </c>
      <c r="AN47" s="23">
        <f t="shared" si="3"/>
        <v>0</v>
      </c>
    </row>
    <row r="48" spans="1:40" ht="25.05" customHeight="1" x14ac:dyDescent="0.3">
      <c r="A48" s="4">
        <v>1460</v>
      </c>
      <c r="B48" s="4" t="s">
        <v>55</v>
      </c>
      <c r="C48" s="8">
        <v>0</v>
      </c>
      <c r="D48" s="9" t="s">
        <v>52</v>
      </c>
      <c r="E48" s="10">
        <v>13.999933</v>
      </c>
      <c r="F48" s="13">
        <f t="shared" si="0"/>
        <v>0</v>
      </c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1">
        <f t="shared" si="1"/>
        <v>0</v>
      </c>
      <c r="AM48" s="22">
        <f t="shared" si="2"/>
        <v>0</v>
      </c>
      <c r="AN48" s="23">
        <f t="shared" si="3"/>
        <v>0</v>
      </c>
    </row>
    <row r="49" spans="1:40" ht="25.05" customHeight="1" x14ac:dyDescent="0.3">
      <c r="A49" s="4">
        <v>77</v>
      </c>
      <c r="B49" s="4" t="s">
        <v>56</v>
      </c>
      <c r="C49" s="8">
        <v>0</v>
      </c>
      <c r="D49" s="9" t="s">
        <v>52</v>
      </c>
      <c r="E49" s="10">
        <v>12.378803</v>
      </c>
      <c r="F49" s="13">
        <f t="shared" si="0"/>
        <v>0</v>
      </c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1">
        <f t="shared" si="1"/>
        <v>0</v>
      </c>
      <c r="AM49" s="22">
        <f t="shared" si="2"/>
        <v>0</v>
      </c>
      <c r="AN49" s="23">
        <f t="shared" si="3"/>
        <v>0</v>
      </c>
    </row>
    <row r="50" spans="1:40" ht="25.05" customHeight="1" x14ac:dyDescent="0.3">
      <c r="A50" s="4">
        <v>93</v>
      </c>
      <c r="B50" s="4" t="s">
        <v>57</v>
      </c>
      <c r="C50" s="8">
        <v>0</v>
      </c>
      <c r="D50" s="9" t="s">
        <v>52</v>
      </c>
      <c r="E50" s="10">
        <v>8.0440360000000002</v>
      </c>
      <c r="F50" s="13">
        <f t="shared" si="0"/>
        <v>0</v>
      </c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1">
        <f t="shared" si="1"/>
        <v>0</v>
      </c>
      <c r="AM50" s="22">
        <f t="shared" si="2"/>
        <v>0</v>
      </c>
      <c r="AN50" s="23">
        <f t="shared" si="3"/>
        <v>0</v>
      </c>
    </row>
    <row r="51" spans="1:40" ht="25.05" customHeight="1" x14ac:dyDescent="0.3">
      <c r="A51" s="4">
        <v>28571</v>
      </c>
      <c r="B51" s="4" t="s">
        <v>58</v>
      </c>
      <c r="C51" s="8">
        <v>0</v>
      </c>
      <c r="D51" s="9" t="s">
        <v>52</v>
      </c>
      <c r="E51" s="10">
        <v>8.8800000000000008</v>
      </c>
      <c r="F51" s="13">
        <f t="shared" si="0"/>
        <v>0</v>
      </c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1">
        <f t="shared" si="1"/>
        <v>0</v>
      </c>
      <c r="AM51" s="22">
        <f t="shared" si="2"/>
        <v>0</v>
      </c>
      <c r="AN51" s="23">
        <f t="shared" si="3"/>
        <v>0</v>
      </c>
    </row>
    <row r="52" spans="1:40" ht="25.05" customHeight="1" x14ac:dyDescent="0.3">
      <c r="A52" s="4">
        <v>101</v>
      </c>
      <c r="B52" s="4" t="s">
        <v>59</v>
      </c>
      <c r="C52" s="8">
        <v>0</v>
      </c>
      <c r="D52" s="9" t="s">
        <v>52</v>
      </c>
      <c r="E52" s="10">
        <v>8.4222479999999997</v>
      </c>
      <c r="F52" s="13">
        <f t="shared" si="0"/>
        <v>0</v>
      </c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1">
        <f t="shared" si="1"/>
        <v>0</v>
      </c>
      <c r="AM52" s="22">
        <f t="shared" si="2"/>
        <v>0</v>
      </c>
      <c r="AN52" s="23">
        <f t="shared" si="3"/>
        <v>0</v>
      </c>
    </row>
    <row r="53" spans="1:40" ht="25.05" customHeight="1" x14ac:dyDescent="0.3">
      <c r="A53" s="4">
        <v>99</v>
      </c>
      <c r="B53" s="4" t="s">
        <v>60</v>
      </c>
      <c r="C53" s="8">
        <v>0</v>
      </c>
      <c r="D53" s="9" t="s">
        <v>52</v>
      </c>
      <c r="E53" s="10">
        <v>8.052308</v>
      </c>
      <c r="F53" s="13">
        <f t="shared" si="0"/>
        <v>0</v>
      </c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1">
        <f t="shared" si="1"/>
        <v>0</v>
      </c>
      <c r="AM53" s="22">
        <f t="shared" si="2"/>
        <v>0</v>
      </c>
      <c r="AN53" s="23">
        <f t="shared" si="3"/>
        <v>0</v>
      </c>
    </row>
    <row r="54" spans="1:40" ht="25.05" customHeight="1" x14ac:dyDescent="0.3">
      <c r="A54" s="4">
        <v>25825</v>
      </c>
      <c r="B54" s="4" t="s">
        <v>61</v>
      </c>
      <c r="C54" s="8">
        <v>0</v>
      </c>
      <c r="D54" s="9" t="s">
        <v>52</v>
      </c>
      <c r="E54" s="10">
        <v>9.5063899999999997</v>
      </c>
      <c r="F54" s="13">
        <f t="shared" si="0"/>
        <v>0</v>
      </c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1">
        <f t="shared" si="1"/>
        <v>0</v>
      </c>
      <c r="AM54" s="22">
        <f t="shared" si="2"/>
        <v>0</v>
      </c>
      <c r="AN54" s="23">
        <f t="shared" si="3"/>
        <v>0</v>
      </c>
    </row>
    <row r="55" spans="1:40" ht="25.05" customHeight="1" x14ac:dyDescent="0.3">
      <c r="A55" s="4">
        <v>102</v>
      </c>
      <c r="B55" s="4" t="s">
        <v>62</v>
      </c>
      <c r="C55" s="8">
        <v>0</v>
      </c>
      <c r="D55" s="9" t="s">
        <v>52</v>
      </c>
      <c r="E55" s="10">
        <v>13.621230000000001</v>
      </c>
      <c r="F55" s="13">
        <f t="shared" si="0"/>
        <v>0</v>
      </c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1">
        <f t="shared" si="1"/>
        <v>0</v>
      </c>
      <c r="AM55" s="22">
        <f t="shared" si="2"/>
        <v>0</v>
      </c>
      <c r="AN55" s="23">
        <f t="shared" si="3"/>
        <v>0</v>
      </c>
    </row>
    <row r="56" spans="1:40" ht="25.05" customHeight="1" x14ac:dyDescent="0.3">
      <c r="A56" s="4">
        <v>2133</v>
      </c>
      <c r="B56" s="4" t="s">
        <v>63</v>
      </c>
      <c r="C56" s="8">
        <v>0</v>
      </c>
      <c r="D56" s="9" t="s">
        <v>52</v>
      </c>
      <c r="E56" s="10">
        <v>4.897748</v>
      </c>
      <c r="F56" s="13">
        <f t="shared" si="0"/>
        <v>0</v>
      </c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1">
        <f t="shared" si="1"/>
        <v>0</v>
      </c>
      <c r="AM56" s="22">
        <f t="shared" si="2"/>
        <v>0</v>
      </c>
      <c r="AN56" s="23">
        <f t="shared" si="3"/>
        <v>0</v>
      </c>
    </row>
    <row r="57" spans="1:40" ht="25.05" customHeight="1" x14ac:dyDescent="0.3">
      <c r="A57" s="4">
        <v>2112</v>
      </c>
      <c r="B57" s="4" t="s">
        <v>64</v>
      </c>
      <c r="C57" s="8">
        <v>0</v>
      </c>
      <c r="D57" s="9" t="s">
        <v>52</v>
      </c>
      <c r="E57" s="10">
        <v>5.4460759999999997</v>
      </c>
      <c r="F57" s="13">
        <f t="shared" si="0"/>
        <v>0</v>
      </c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1">
        <f t="shared" si="1"/>
        <v>0</v>
      </c>
      <c r="AM57" s="22">
        <f t="shared" si="2"/>
        <v>0</v>
      </c>
      <c r="AN57" s="23">
        <f t="shared" si="3"/>
        <v>0</v>
      </c>
    </row>
    <row r="58" spans="1:40" ht="25.05" customHeight="1" x14ac:dyDescent="0.3">
      <c r="A58" s="4">
        <v>2135</v>
      </c>
      <c r="B58" s="4" t="s">
        <v>65</v>
      </c>
      <c r="C58" s="8">
        <v>0</v>
      </c>
      <c r="D58" s="9" t="s">
        <v>52</v>
      </c>
      <c r="E58" s="10">
        <v>5.2498379999999996</v>
      </c>
      <c r="F58" s="13">
        <f t="shared" si="0"/>
        <v>0</v>
      </c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1">
        <f t="shared" si="1"/>
        <v>0</v>
      </c>
      <c r="AM58" s="22">
        <f t="shared" si="2"/>
        <v>0</v>
      </c>
      <c r="AN58" s="23">
        <f t="shared" si="3"/>
        <v>0</v>
      </c>
    </row>
    <row r="59" spans="1:40" ht="25.05" customHeight="1" x14ac:dyDescent="0.3">
      <c r="A59" s="4">
        <v>935</v>
      </c>
      <c r="B59" s="4" t="s">
        <v>66</v>
      </c>
      <c r="C59" s="8">
        <v>0</v>
      </c>
      <c r="D59" s="9" t="s">
        <v>52</v>
      </c>
      <c r="E59" s="10">
        <v>21.300664999999999</v>
      </c>
      <c r="F59" s="13">
        <f t="shared" si="0"/>
        <v>0</v>
      </c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1">
        <f t="shared" si="1"/>
        <v>0</v>
      </c>
      <c r="AM59" s="22">
        <f t="shared" si="2"/>
        <v>0</v>
      </c>
      <c r="AN59" s="23">
        <f t="shared" si="3"/>
        <v>0</v>
      </c>
    </row>
    <row r="60" spans="1:40" ht="25.05" customHeight="1" x14ac:dyDescent="0.3">
      <c r="A60" s="4">
        <v>134</v>
      </c>
      <c r="B60" s="4" t="s">
        <v>67</v>
      </c>
      <c r="C60" s="8">
        <v>0</v>
      </c>
      <c r="D60" s="9" t="s">
        <v>52</v>
      </c>
      <c r="E60" s="10">
        <v>9.9938110000000009</v>
      </c>
      <c r="F60" s="13">
        <f t="shared" si="0"/>
        <v>0</v>
      </c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1">
        <f t="shared" si="1"/>
        <v>0</v>
      </c>
      <c r="AM60" s="22">
        <f t="shared" si="2"/>
        <v>0</v>
      </c>
      <c r="AN60" s="23">
        <f t="shared" si="3"/>
        <v>0</v>
      </c>
    </row>
    <row r="61" spans="1:40" ht="25.05" customHeight="1" x14ac:dyDescent="0.3">
      <c r="A61" s="4">
        <v>216</v>
      </c>
      <c r="B61" s="4" t="s">
        <v>68</v>
      </c>
      <c r="C61" s="8">
        <v>0</v>
      </c>
      <c r="D61" s="9" t="s">
        <v>52</v>
      </c>
      <c r="E61" s="10">
        <v>8.1262209999999993</v>
      </c>
      <c r="F61" s="13">
        <f t="shared" si="0"/>
        <v>0</v>
      </c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1">
        <f t="shared" si="1"/>
        <v>0</v>
      </c>
      <c r="AM61" s="22">
        <f t="shared" si="2"/>
        <v>0</v>
      </c>
      <c r="AN61" s="23">
        <f t="shared" si="3"/>
        <v>0</v>
      </c>
    </row>
    <row r="62" spans="1:40" ht="25.05" customHeight="1" x14ac:dyDescent="0.3">
      <c r="A62" s="4">
        <v>28</v>
      </c>
      <c r="B62" s="4" t="s">
        <v>69</v>
      </c>
      <c r="C62" s="8">
        <v>0</v>
      </c>
      <c r="D62" s="9" t="s">
        <v>52</v>
      </c>
      <c r="E62" s="10">
        <v>34.469428000000001</v>
      </c>
      <c r="F62" s="13">
        <f t="shared" si="0"/>
        <v>0</v>
      </c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1">
        <f t="shared" si="1"/>
        <v>0</v>
      </c>
      <c r="AM62" s="22">
        <f t="shared" si="2"/>
        <v>0</v>
      </c>
      <c r="AN62" s="23">
        <f t="shared" si="3"/>
        <v>0</v>
      </c>
    </row>
    <row r="63" spans="1:40" ht="25.05" customHeight="1" x14ac:dyDescent="0.3">
      <c r="A63" s="4">
        <v>503</v>
      </c>
      <c r="B63" s="4" t="s">
        <v>70</v>
      </c>
      <c r="C63" s="8">
        <v>0</v>
      </c>
      <c r="D63" s="9" t="s">
        <v>16</v>
      </c>
      <c r="E63" s="10">
        <v>12.67</v>
      </c>
      <c r="F63" s="13">
        <f t="shared" si="0"/>
        <v>0</v>
      </c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1">
        <f t="shared" si="1"/>
        <v>0</v>
      </c>
      <c r="AM63" s="22">
        <f t="shared" si="2"/>
        <v>0</v>
      </c>
      <c r="AN63" s="23">
        <f t="shared" si="3"/>
        <v>0</v>
      </c>
    </row>
    <row r="64" spans="1:40" ht="25.05" customHeight="1" x14ac:dyDescent="0.3">
      <c r="A64" s="4">
        <v>4135</v>
      </c>
      <c r="B64" s="4" t="s">
        <v>71</v>
      </c>
      <c r="C64" s="8">
        <v>0</v>
      </c>
      <c r="D64" s="9" t="s">
        <v>11</v>
      </c>
      <c r="E64" s="10">
        <v>6.2098969999999998</v>
      </c>
      <c r="F64" s="13">
        <f t="shared" si="0"/>
        <v>0</v>
      </c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1">
        <f t="shared" si="1"/>
        <v>0</v>
      </c>
      <c r="AM64" s="22">
        <f t="shared" si="2"/>
        <v>0</v>
      </c>
      <c r="AN64" s="23">
        <f t="shared" si="3"/>
        <v>0</v>
      </c>
    </row>
    <row r="65" spans="1:40" ht="25.05" customHeight="1" x14ac:dyDescent="0.3">
      <c r="A65" s="4">
        <v>13609</v>
      </c>
      <c r="B65" s="4" t="s">
        <v>72</v>
      </c>
      <c r="C65" s="8">
        <v>0</v>
      </c>
      <c r="D65" s="9" t="s">
        <v>11</v>
      </c>
      <c r="E65" s="10">
        <v>10.825581</v>
      </c>
      <c r="F65" s="13">
        <f t="shared" si="0"/>
        <v>0</v>
      </c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1">
        <f t="shared" si="1"/>
        <v>0</v>
      </c>
      <c r="AM65" s="22">
        <f t="shared" si="2"/>
        <v>0</v>
      </c>
      <c r="AN65" s="23">
        <f t="shared" si="3"/>
        <v>0</v>
      </c>
    </row>
    <row r="66" spans="1:40" ht="25.05" customHeight="1" x14ac:dyDescent="0.3">
      <c r="A66" s="4">
        <v>28401</v>
      </c>
      <c r="B66" s="4" t="s">
        <v>73</v>
      </c>
      <c r="C66" s="8">
        <v>0</v>
      </c>
      <c r="D66" s="9" t="s">
        <v>45</v>
      </c>
      <c r="E66" s="10">
        <v>3.5</v>
      </c>
      <c r="F66" s="13">
        <f t="shared" si="0"/>
        <v>0</v>
      </c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1">
        <f t="shared" si="1"/>
        <v>0</v>
      </c>
      <c r="AM66" s="22">
        <f t="shared" si="2"/>
        <v>0</v>
      </c>
      <c r="AN66" s="23">
        <f t="shared" si="3"/>
        <v>0</v>
      </c>
    </row>
    <row r="67" spans="1:40" ht="25.05" customHeight="1" x14ac:dyDescent="0.3">
      <c r="A67" s="4">
        <v>28403</v>
      </c>
      <c r="B67" s="4" t="s">
        <v>74</v>
      </c>
      <c r="C67" s="8">
        <v>0</v>
      </c>
      <c r="D67" s="9" t="s">
        <v>45</v>
      </c>
      <c r="E67" s="10">
        <v>3.5</v>
      </c>
      <c r="F67" s="13">
        <f t="shared" si="0"/>
        <v>0</v>
      </c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1">
        <f t="shared" si="1"/>
        <v>0</v>
      </c>
      <c r="AM67" s="22">
        <f t="shared" si="2"/>
        <v>0</v>
      </c>
      <c r="AN67" s="23">
        <f t="shared" si="3"/>
        <v>0</v>
      </c>
    </row>
    <row r="68" spans="1:40" ht="25.05" customHeight="1" x14ac:dyDescent="0.3">
      <c r="A68" s="4">
        <v>23783</v>
      </c>
      <c r="B68" s="4" t="s">
        <v>75</v>
      </c>
      <c r="C68" s="8">
        <v>0</v>
      </c>
      <c r="D68" s="9" t="s">
        <v>7</v>
      </c>
      <c r="E68" s="10">
        <v>7.2076000000000001E-2</v>
      </c>
      <c r="F68" s="13">
        <f t="shared" si="0"/>
        <v>0</v>
      </c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1">
        <f t="shared" si="1"/>
        <v>0</v>
      </c>
      <c r="AM68" s="22">
        <f t="shared" si="2"/>
        <v>0</v>
      </c>
      <c r="AN68" s="23">
        <f t="shared" si="3"/>
        <v>0</v>
      </c>
    </row>
    <row r="69" spans="1:40" ht="25.05" customHeight="1" x14ac:dyDescent="0.3">
      <c r="A69" s="4">
        <v>23775</v>
      </c>
      <c r="B69" s="4" t="s">
        <v>76</v>
      </c>
      <c r="C69" s="8">
        <v>0</v>
      </c>
      <c r="D69" s="9" t="s">
        <v>7</v>
      </c>
      <c r="E69" s="10">
        <v>7.4038000000000007E-2</v>
      </c>
      <c r="F69" s="13">
        <f t="shared" si="0"/>
        <v>0</v>
      </c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1">
        <f t="shared" si="1"/>
        <v>0</v>
      </c>
      <c r="AM69" s="22">
        <f t="shared" si="2"/>
        <v>0</v>
      </c>
      <c r="AN69" s="23">
        <f t="shared" si="3"/>
        <v>0</v>
      </c>
    </row>
    <row r="70" spans="1:40" ht="25.05" customHeight="1" x14ac:dyDescent="0.3">
      <c r="A70" s="4">
        <v>23777</v>
      </c>
      <c r="B70" s="4" t="s">
        <v>77</v>
      </c>
      <c r="C70" s="8">
        <v>0</v>
      </c>
      <c r="D70" s="9" t="s">
        <v>7</v>
      </c>
      <c r="E70" s="10">
        <v>8.5773000000000002E-2</v>
      </c>
      <c r="F70" s="13">
        <f t="shared" si="0"/>
        <v>0</v>
      </c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1">
        <f t="shared" si="1"/>
        <v>0</v>
      </c>
      <c r="AM70" s="22">
        <f t="shared" si="2"/>
        <v>0</v>
      </c>
      <c r="AN70" s="23">
        <f t="shared" si="3"/>
        <v>0</v>
      </c>
    </row>
    <row r="71" spans="1:40" ht="25.05" customHeight="1" x14ac:dyDescent="0.3">
      <c r="A71" s="4">
        <v>23771</v>
      </c>
      <c r="B71" s="4" t="s">
        <v>78</v>
      </c>
      <c r="C71" s="8">
        <v>0</v>
      </c>
      <c r="D71" s="9" t="s">
        <v>7</v>
      </c>
      <c r="E71" s="10">
        <v>7.1194999999999994E-2</v>
      </c>
      <c r="F71" s="13">
        <f t="shared" si="0"/>
        <v>0</v>
      </c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1">
        <f t="shared" si="1"/>
        <v>0</v>
      </c>
      <c r="AM71" s="22">
        <f t="shared" si="2"/>
        <v>0</v>
      </c>
      <c r="AN71" s="23">
        <f t="shared" si="3"/>
        <v>0</v>
      </c>
    </row>
    <row r="72" spans="1:40" ht="25.05" customHeight="1" x14ac:dyDescent="0.3">
      <c r="A72" s="4">
        <v>23773</v>
      </c>
      <c r="B72" s="4" t="s">
        <v>79</v>
      </c>
      <c r="C72" s="8">
        <v>0</v>
      </c>
      <c r="D72" s="9" t="s">
        <v>7</v>
      </c>
      <c r="E72" s="10">
        <v>7.1868000000000001E-2</v>
      </c>
      <c r="F72" s="13">
        <f t="shared" si="0"/>
        <v>0</v>
      </c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1">
        <f t="shared" si="1"/>
        <v>0</v>
      </c>
      <c r="AM72" s="22">
        <f t="shared" si="2"/>
        <v>0</v>
      </c>
      <c r="AN72" s="23">
        <f t="shared" si="3"/>
        <v>0</v>
      </c>
    </row>
    <row r="73" spans="1:40" ht="25.05" customHeight="1" x14ac:dyDescent="0.3">
      <c r="A73" s="4">
        <v>23874</v>
      </c>
      <c r="B73" s="4" t="s">
        <v>80</v>
      </c>
      <c r="C73" s="8">
        <v>0</v>
      </c>
      <c r="D73" s="9" t="s">
        <v>7</v>
      </c>
      <c r="E73" s="10">
        <v>8.2503000000000007E-2</v>
      </c>
      <c r="F73" s="13">
        <f t="shared" si="0"/>
        <v>0</v>
      </c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1">
        <f t="shared" si="1"/>
        <v>0</v>
      </c>
      <c r="AM73" s="22">
        <f t="shared" si="2"/>
        <v>0</v>
      </c>
      <c r="AN73" s="23">
        <f t="shared" si="3"/>
        <v>0</v>
      </c>
    </row>
    <row r="74" spans="1:40" ht="25.05" customHeight="1" x14ac:dyDescent="0.3">
      <c r="A74" s="4">
        <v>23939</v>
      </c>
      <c r="B74" s="4" t="s">
        <v>81</v>
      </c>
      <c r="C74" s="8">
        <v>0</v>
      </c>
      <c r="D74" s="9" t="s">
        <v>7</v>
      </c>
      <c r="E74" s="10">
        <v>8.4090999999999999E-2</v>
      </c>
      <c r="F74" s="13">
        <f t="shared" si="0"/>
        <v>0</v>
      </c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1">
        <f t="shared" si="1"/>
        <v>0</v>
      </c>
      <c r="AM74" s="22">
        <f t="shared" si="2"/>
        <v>0</v>
      </c>
      <c r="AN74" s="23">
        <f t="shared" si="3"/>
        <v>0</v>
      </c>
    </row>
    <row r="75" spans="1:40" ht="25.05" customHeight="1" x14ac:dyDescent="0.3">
      <c r="A75" s="4">
        <v>23766</v>
      </c>
      <c r="B75" s="4" t="s">
        <v>82</v>
      </c>
      <c r="C75" s="8">
        <v>0</v>
      </c>
      <c r="D75" s="9" t="s">
        <v>7</v>
      </c>
      <c r="E75" s="10">
        <v>8.2526000000000002E-2</v>
      </c>
      <c r="F75" s="13">
        <f t="shared" si="0"/>
        <v>0</v>
      </c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1">
        <f t="shared" si="1"/>
        <v>0</v>
      </c>
      <c r="AM75" s="22">
        <f t="shared" si="2"/>
        <v>0</v>
      </c>
      <c r="AN75" s="23">
        <f t="shared" si="3"/>
        <v>0</v>
      </c>
    </row>
    <row r="76" spans="1:40" ht="25.05" customHeight="1" x14ac:dyDescent="0.3">
      <c r="A76" s="4">
        <v>23781</v>
      </c>
      <c r="B76" s="4" t="s">
        <v>83</v>
      </c>
      <c r="C76" s="8">
        <v>0</v>
      </c>
      <c r="D76" s="9" t="s">
        <v>7</v>
      </c>
      <c r="E76" s="10">
        <v>8.7292999999999996E-2</v>
      </c>
      <c r="F76" s="13">
        <f t="shared" si="0"/>
        <v>0</v>
      </c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1">
        <f t="shared" si="1"/>
        <v>0</v>
      </c>
      <c r="AM76" s="22">
        <f t="shared" si="2"/>
        <v>0</v>
      </c>
      <c r="AN76" s="23">
        <f t="shared" si="3"/>
        <v>0</v>
      </c>
    </row>
    <row r="77" spans="1:40" ht="25.05" customHeight="1" x14ac:dyDescent="0.3">
      <c r="A77" s="4">
        <v>8983</v>
      </c>
      <c r="B77" s="4" t="s">
        <v>84</v>
      </c>
      <c r="C77" s="8">
        <v>0</v>
      </c>
      <c r="D77" s="9" t="s">
        <v>52</v>
      </c>
      <c r="E77" s="10">
        <v>1.8999950000000001</v>
      </c>
      <c r="F77" s="13">
        <f t="shared" si="0"/>
        <v>0</v>
      </c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1">
        <f t="shared" si="1"/>
        <v>0</v>
      </c>
      <c r="AM77" s="22">
        <f t="shared" si="2"/>
        <v>0</v>
      </c>
      <c r="AN77" s="23">
        <f t="shared" si="3"/>
        <v>0</v>
      </c>
    </row>
    <row r="78" spans="1:40" ht="25.05" customHeight="1" x14ac:dyDescent="0.3">
      <c r="A78" s="4">
        <v>11946</v>
      </c>
      <c r="B78" s="4" t="s">
        <v>85</v>
      </c>
      <c r="C78" s="8">
        <v>0</v>
      </c>
      <c r="D78" s="9" t="s">
        <v>52</v>
      </c>
      <c r="E78" s="10">
        <v>5.5413009999999998</v>
      </c>
      <c r="F78" s="13">
        <f t="shared" si="0"/>
        <v>0</v>
      </c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1">
        <f t="shared" si="1"/>
        <v>0</v>
      </c>
      <c r="AM78" s="22">
        <f t="shared" si="2"/>
        <v>0</v>
      </c>
      <c r="AN78" s="23">
        <f t="shared" si="3"/>
        <v>0</v>
      </c>
    </row>
    <row r="79" spans="1:40" ht="25.05" customHeight="1" x14ac:dyDescent="0.3">
      <c r="A79" s="4">
        <v>11986</v>
      </c>
      <c r="B79" s="4" t="s">
        <v>86</v>
      </c>
      <c r="C79" s="8">
        <v>0</v>
      </c>
      <c r="D79" s="9" t="s">
        <v>52</v>
      </c>
      <c r="E79" s="10">
        <v>5.5494570000000003</v>
      </c>
      <c r="F79" s="13">
        <f t="shared" si="0"/>
        <v>0</v>
      </c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1">
        <f t="shared" si="1"/>
        <v>0</v>
      </c>
      <c r="AM79" s="22">
        <f t="shared" si="2"/>
        <v>0</v>
      </c>
      <c r="AN79" s="23">
        <f t="shared" si="3"/>
        <v>0</v>
      </c>
    </row>
    <row r="80" spans="1:40" ht="25.05" customHeight="1" x14ac:dyDescent="0.3">
      <c r="A80" s="4">
        <v>24464</v>
      </c>
      <c r="B80" s="4" t="s">
        <v>87</v>
      </c>
      <c r="C80" s="8">
        <v>0</v>
      </c>
      <c r="D80" s="9" t="s">
        <v>52</v>
      </c>
      <c r="E80" s="10">
        <v>26.18</v>
      </c>
      <c r="F80" s="13">
        <f t="shared" si="0"/>
        <v>0</v>
      </c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1">
        <f t="shared" si="1"/>
        <v>0</v>
      </c>
      <c r="AM80" s="22">
        <f t="shared" si="2"/>
        <v>0</v>
      </c>
      <c r="AN80" s="23">
        <f t="shared" si="3"/>
        <v>0</v>
      </c>
    </row>
    <row r="81" spans="1:40" ht="25.05" customHeight="1" x14ac:dyDescent="0.3">
      <c r="A81" s="4">
        <v>24465</v>
      </c>
      <c r="B81" s="4" t="s">
        <v>88</v>
      </c>
      <c r="C81" s="8">
        <v>0</v>
      </c>
      <c r="D81" s="9" t="s">
        <v>52</v>
      </c>
      <c r="E81" s="10">
        <v>32.68</v>
      </c>
      <c r="F81" s="13">
        <f t="shared" si="0"/>
        <v>0</v>
      </c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1">
        <f t="shared" si="1"/>
        <v>0</v>
      </c>
      <c r="AM81" s="22">
        <f t="shared" si="2"/>
        <v>0</v>
      </c>
      <c r="AN81" s="23">
        <f t="shared" si="3"/>
        <v>0</v>
      </c>
    </row>
    <row r="82" spans="1:40" ht="25.05" customHeight="1" x14ac:dyDescent="0.3">
      <c r="A82" s="4">
        <v>97</v>
      </c>
      <c r="B82" s="4" t="s">
        <v>89</v>
      </c>
      <c r="C82" s="8">
        <v>0</v>
      </c>
      <c r="D82" s="9" t="s">
        <v>52</v>
      </c>
      <c r="E82" s="10">
        <v>34.5</v>
      </c>
      <c r="F82" s="13">
        <f t="shared" si="0"/>
        <v>0</v>
      </c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1">
        <f t="shared" si="1"/>
        <v>0</v>
      </c>
      <c r="AM82" s="22">
        <f t="shared" si="2"/>
        <v>0</v>
      </c>
      <c r="AN82" s="23">
        <f t="shared" si="3"/>
        <v>0</v>
      </c>
    </row>
    <row r="83" spans="1:40" ht="25.05" customHeight="1" x14ac:dyDescent="0.3">
      <c r="A83" s="4">
        <v>6345</v>
      </c>
      <c r="B83" s="4" t="s">
        <v>90</v>
      </c>
      <c r="C83" s="8">
        <v>0</v>
      </c>
      <c r="D83" s="9" t="s">
        <v>52</v>
      </c>
      <c r="E83" s="10">
        <v>37.53</v>
      </c>
      <c r="F83" s="13">
        <f t="shared" si="0"/>
        <v>0</v>
      </c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1">
        <f t="shared" si="1"/>
        <v>0</v>
      </c>
      <c r="AM83" s="22">
        <f t="shared" si="2"/>
        <v>0</v>
      </c>
      <c r="AN83" s="23">
        <f t="shared" si="3"/>
        <v>0</v>
      </c>
    </row>
    <row r="84" spans="1:40" ht="25.05" customHeight="1" x14ac:dyDescent="0.3">
      <c r="A84" s="4">
        <v>8992</v>
      </c>
      <c r="B84" s="4" t="s">
        <v>91</v>
      </c>
      <c r="C84" s="8">
        <v>0</v>
      </c>
      <c r="D84" s="9" t="s">
        <v>45</v>
      </c>
      <c r="E84" s="10">
        <v>0.50231700000000001</v>
      </c>
      <c r="F84" s="13">
        <f t="shared" si="0"/>
        <v>0</v>
      </c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1">
        <f t="shared" si="1"/>
        <v>0</v>
      </c>
      <c r="AM84" s="22">
        <f t="shared" si="2"/>
        <v>0</v>
      </c>
      <c r="AN84" s="23">
        <f t="shared" si="3"/>
        <v>0</v>
      </c>
    </row>
    <row r="85" spans="1:40" ht="25.05" customHeight="1" x14ac:dyDescent="0.3">
      <c r="A85" s="4">
        <v>13829</v>
      </c>
      <c r="B85" s="4" t="s">
        <v>92</v>
      </c>
      <c r="C85" s="8">
        <v>0</v>
      </c>
      <c r="D85" s="9" t="s">
        <v>52</v>
      </c>
      <c r="E85" s="10">
        <v>0.66893100000000005</v>
      </c>
      <c r="F85" s="13">
        <f t="shared" si="0"/>
        <v>0</v>
      </c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1">
        <f t="shared" si="1"/>
        <v>0</v>
      </c>
      <c r="AM85" s="22">
        <f t="shared" si="2"/>
        <v>0</v>
      </c>
      <c r="AN85" s="23">
        <f t="shared" si="3"/>
        <v>0</v>
      </c>
    </row>
    <row r="86" spans="1:40" ht="25.05" customHeight="1" x14ac:dyDescent="0.3">
      <c r="A86" s="4">
        <v>15467</v>
      </c>
      <c r="B86" s="4" t="s">
        <v>93</v>
      </c>
      <c r="C86" s="8">
        <v>0</v>
      </c>
      <c r="D86" s="9" t="s">
        <v>52</v>
      </c>
      <c r="E86" s="10">
        <v>1.132325</v>
      </c>
      <c r="F86" s="13">
        <f t="shared" si="0"/>
        <v>0</v>
      </c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1">
        <f t="shared" si="1"/>
        <v>0</v>
      </c>
      <c r="AM86" s="22">
        <f t="shared" si="2"/>
        <v>0</v>
      </c>
      <c r="AN86" s="23">
        <f t="shared" si="3"/>
        <v>0</v>
      </c>
    </row>
    <row r="87" spans="1:40" ht="25.05" customHeight="1" x14ac:dyDescent="0.3">
      <c r="A87" s="4">
        <v>4341</v>
      </c>
      <c r="B87" s="4" t="s">
        <v>94</v>
      </c>
      <c r="C87" s="8">
        <v>0</v>
      </c>
      <c r="D87" s="9" t="s">
        <v>52</v>
      </c>
      <c r="E87" s="10">
        <v>0.58299999999999996</v>
      </c>
      <c r="F87" s="13">
        <f t="shared" si="0"/>
        <v>0</v>
      </c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1">
        <f t="shared" si="1"/>
        <v>0</v>
      </c>
      <c r="AM87" s="22">
        <f t="shared" si="2"/>
        <v>0</v>
      </c>
      <c r="AN87" s="23">
        <f t="shared" si="3"/>
        <v>0</v>
      </c>
    </row>
    <row r="88" spans="1:40" ht="25.05" customHeight="1" x14ac:dyDescent="0.3">
      <c r="A88" s="4">
        <v>17627</v>
      </c>
      <c r="B88" s="4" t="s">
        <v>95</v>
      </c>
      <c r="C88" s="8">
        <v>0</v>
      </c>
      <c r="D88" s="9" t="s">
        <v>52</v>
      </c>
      <c r="E88" s="10">
        <v>0.75498399999999999</v>
      </c>
      <c r="F88" s="13">
        <f t="shared" si="0"/>
        <v>0</v>
      </c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1">
        <f t="shared" si="1"/>
        <v>0</v>
      </c>
      <c r="AM88" s="22">
        <f t="shared" si="2"/>
        <v>0</v>
      </c>
      <c r="AN88" s="23">
        <f t="shared" si="3"/>
        <v>0</v>
      </c>
    </row>
    <row r="89" spans="1:40" ht="25.05" customHeight="1" x14ac:dyDescent="0.3">
      <c r="A89" s="4">
        <v>25720</v>
      </c>
      <c r="B89" s="4" t="s">
        <v>96</v>
      </c>
      <c r="C89" s="8">
        <v>0</v>
      </c>
      <c r="D89" s="9" t="s">
        <v>7</v>
      </c>
      <c r="E89" s="10">
        <v>0.35092000000000001</v>
      </c>
      <c r="F89" s="13">
        <f t="shared" si="0"/>
        <v>0</v>
      </c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1">
        <f t="shared" si="1"/>
        <v>0</v>
      </c>
      <c r="AM89" s="22">
        <f t="shared" si="2"/>
        <v>0</v>
      </c>
      <c r="AN89" s="23">
        <f t="shared" si="3"/>
        <v>0</v>
      </c>
    </row>
    <row r="90" spans="1:40" ht="25.05" customHeight="1" x14ac:dyDescent="0.3">
      <c r="A90" s="4">
        <v>5796</v>
      </c>
      <c r="B90" s="4" t="s">
        <v>97</v>
      </c>
      <c r="C90" s="8">
        <v>0</v>
      </c>
      <c r="D90" s="9" t="s">
        <v>52</v>
      </c>
      <c r="E90" s="10">
        <v>0.32708599999999999</v>
      </c>
      <c r="F90" s="13">
        <f t="shared" si="0"/>
        <v>0</v>
      </c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1">
        <f t="shared" si="1"/>
        <v>0</v>
      </c>
      <c r="AM90" s="22">
        <f t="shared" si="2"/>
        <v>0</v>
      </c>
      <c r="AN90" s="23">
        <f t="shared" si="3"/>
        <v>0</v>
      </c>
    </row>
    <row r="91" spans="1:40" ht="25.05" customHeight="1" x14ac:dyDescent="0.3">
      <c r="A91" s="4">
        <v>54</v>
      </c>
      <c r="B91" s="4" t="s">
        <v>98</v>
      </c>
      <c r="C91" s="8">
        <v>0</v>
      </c>
      <c r="D91" s="9" t="s">
        <v>52</v>
      </c>
      <c r="E91" s="10">
        <v>7.1029869999999997</v>
      </c>
      <c r="F91" s="13">
        <f t="shared" si="0"/>
        <v>0</v>
      </c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1">
        <f t="shared" si="1"/>
        <v>0</v>
      </c>
      <c r="AM91" s="22">
        <f t="shared" si="2"/>
        <v>0</v>
      </c>
      <c r="AN91" s="23">
        <f t="shared" si="3"/>
        <v>0</v>
      </c>
    </row>
    <row r="92" spans="1:40" ht="25.05" customHeight="1" x14ac:dyDescent="0.3">
      <c r="A92" s="4">
        <v>7273</v>
      </c>
      <c r="B92" s="4" t="s">
        <v>99</v>
      </c>
      <c r="C92" s="8">
        <v>0</v>
      </c>
      <c r="D92" s="9" t="s">
        <v>52</v>
      </c>
      <c r="E92" s="10">
        <v>7.9899750000000003</v>
      </c>
      <c r="F92" s="13">
        <f t="shared" si="0"/>
        <v>0</v>
      </c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1">
        <f t="shared" si="1"/>
        <v>0</v>
      </c>
      <c r="AM92" s="22">
        <f t="shared" si="2"/>
        <v>0</v>
      </c>
      <c r="AN92" s="23">
        <f t="shared" si="3"/>
        <v>0</v>
      </c>
    </row>
    <row r="93" spans="1:40" ht="25.05" customHeight="1" x14ac:dyDescent="0.3">
      <c r="A93" s="4">
        <v>135</v>
      </c>
      <c r="B93" s="4" t="s">
        <v>100</v>
      </c>
      <c r="C93" s="8">
        <v>0</v>
      </c>
      <c r="D93" s="9" t="s">
        <v>52</v>
      </c>
      <c r="E93" s="10">
        <v>11.873156</v>
      </c>
      <c r="F93" s="13">
        <f t="shared" si="0"/>
        <v>0</v>
      </c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1">
        <f t="shared" si="1"/>
        <v>0</v>
      </c>
      <c r="AM93" s="22">
        <f t="shared" si="2"/>
        <v>0</v>
      </c>
      <c r="AN93" s="23">
        <f t="shared" si="3"/>
        <v>0</v>
      </c>
    </row>
    <row r="94" spans="1:40" ht="25.05" customHeight="1" x14ac:dyDescent="0.3">
      <c r="A94" s="4">
        <v>6501</v>
      </c>
      <c r="B94" s="4" t="s">
        <v>101</v>
      </c>
      <c r="C94" s="8">
        <v>0</v>
      </c>
      <c r="D94" s="9" t="s">
        <v>52</v>
      </c>
      <c r="E94" s="10">
        <v>14.73</v>
      </c>
      <c r="F94" s="13">
        <f t="shared" si="0"/>
        <v>0</v>
      </c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1">
        <f t="shared" si="1"/>
        <v>0</v>
      </c>
      <c r="AM94" s="22">
        <f t="shared" si="2"/>
        <v>0</v>
      </c>
      <c r="AN94" s="23">
        <f t="shared" si="3"/>
        <v>0</v>
      </c>
    </row>
    <row r="95" spans="1:40" ht="25.05" customHeight="1" x14ac:dyDescent="0.3">
      <c r="A95" s="4">
        <v>25866</v>
      </c>
      <c r="B95" s="4" t="s">
        <v>102</v>
      </c>
      <c r="C95" s="8">
        <v>0</v>
      </c>
      <c r="D95" s="9" t="s">
        <v>7</v>
      </c>
      <c r="E95" s="10">
        <v>11.648386</v>
      </c>
      <c r="F95" s="13">
        <f t="shared" si="0"/>
        <v>0</v>
      </c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1">
        <f t="shared" si="1"/>
        <v>0</v>
      </c>
      <c r="AM95" s="22">
        <f t="shared" si="2"/>
        <v>0</v>
      </c>
      <c r="AN95" s="23">
        <f t="shared" si="3"/>
        <v>0</v>
      </c>
    </row>
    <row r="96" spans="1:40" ht="25.05" customHeight="1" x14ac:dyDescent="0.3">
      <c r="A96" s="4">
        <v>11275</v>
      </c>
      <c r="B96" s="4" t="s">
        <v>103</v>
      </c>
      <c r="C96" s="8">
        <v>0</v>
      </c>
      <c r="D96" s="9" t="s">
        <v>52</v>
      </c>
      <c r="E96" s="10">
        <v>25.548922000000001</v>
      </c>
      <c r="F96" s="13">
        <f t="shared" si="0"/>
        <v>0</v>
      </c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1">
        <f t="shared" si="1"/>
        <v>0</v>
      </c>
      <c r="AM96" s="22">
        <f t="shared" si="2"/>
        <v>0</v>
      </c>
      <c r="AN96" s="23">
        <f t="shared" si="3"/>
        <v>0</v>
      </c>
    </row>
    <row r="97" spans="1:40" ht="25.05" customHeight="1" x14ac:dyDescent="0.3">
      <c r="A97" s="4">
        <v>1074</v>
      </c>
      <c r="B97" s="4" t="s">
        <v>104</v>
      </c>
      <c r="C97" s="8">
        <v>0</v>
      </c>
      <c r="D97" s="9" t="s">
        <v>52</v>
      </c>
      <c r="E97" s="10">
        <v>9.5651150000000005</v>
      </c>
      <c r="F97" s="13">
        <f t="shared" si="0"/>
        <v>0</v>
      </c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1">
        <f t="shared" si="1"/>
        <v>0</v>
      </c>
      <c r="AM97" s="22">
        <f t="shared" si="2"/>
        <v>0</v>
      </c>
      <c r="AN97" s="23">
        <f t="shared" si="3"/>
        <v>0</v>
      </c>
    </row>
    <row r="98" spans="1:40" ht="25.05" customHeight="1" x14ac:dyDescent="0.3">
      <c r="A98" s="4">
        <v>23315</v>
      </c>
      <c r="B98" s="4" t="s">
        <v>105</v>
      </c>
      <c r="C98" s="8">
        <v>0</v>
      </c>
      <c r="D98" s="9" t="s">
        <v>52</v>
      </c>
      <c r="E98" s="10">
        <v>10.912527000000001</v>
      </c>
      <c r="F98" s="13">
        <f t="shared" si="0"/>
        <v>0</v>
      </c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1">
        <f t="shared" si="1"/>
        <v>0</v>
      </c>
      <c r="AM98" s="22">
        <f t="shared" si="2"/>
        <v>0</v>
      </c>
      <c r="AN98" s="23">
        <f t="shared" si="3"/>
        <v>0</v>
      </c>
    </row>
    <row r="99" spans="1:40" ht="25.05" customHeight="1" x14ac:dyDescent="0.3">
      <c r="A99" s="4">
        <v>9351</v>
      </c>
      <c r="B99" s="4" t="s">
        <v>106</v>
      </c>
      <c r="C99" s="8">
        <v>0</v>
      </c>
      <c r="D99" s="9" t="s">
        <v>52</v>
      </c>
      <c r="E99" s="10">
        <v>22.4</v>
      </c>
      <c r="F99" s="13">
        <f t="shared" si="0"/>
        <v>0</v>
      </c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1">
        <f t="shared" si="1"/>
        <v>0</v>
      </c>
      <c r="AM99" s="22">
        <f t="shared" si="2"/>
        <v>0</v>
      </c>
      <c r="AN99" s="23">
        <f t="shared" si="3"/>
        <v>0</v>
      </c>
    </row>
    <row r="100" spans="1:40" ht="25.05" customHeight="1" x14ac:dyDescent="0.3">
      <c r="A100" s="4">
        <v>17517</v>
      </c>
      <c r="B100" s="4" t="s">
        <v>107</v>
      </c>
      <c r="C100" s="8">
        <v>0</v>
      </c>
      <c r="D100" s="9" t="s">
        <v>52</v>
      </c>
      <c r="E100" s="10">
        <v>12.811429</v>
      </c>
      <c r="F100" s="13">
        <f t="shared" si="0"/>
        <v>0</v>
      </c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1">
        <f t="shared" si="1"/>
        <v>0</v>
      </c>
      <c r="AM100" s="22">
        <f t="shared" si="2"/>
        <v>0</v>
      </c>
      <c r="AN100" s="23">
        <f t="shared" si="3"/>
        <v>0</v>
      </c>
    </row>
    <row r="101" spans="1:40" ht="25.05" customHeight="1" x14ac:dyDescent="0.3">
      <c r="A101" s="4">
        <v>13276</v>
      </c>
      <c r="B101" s="4" t="s">
        <v>108</v>
      </c>
      <c r="C101" s="8">
        <v>0</v>
      </c>
      <c r="D101" s="9" t="s">
        <v>52</v>
      </c>
      <c r="E101" s="10">
        <v>24.378748999999999</v>
      </c>
      <c r="F101" s="13">
        <f t="shared" si="0"/>
        <v>0</v>
      </c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1">
        <f t="shared" si="1"/>
        <v>0</v>
      </c>
      <c r="AM101" s="22">
        <f t="shared" si="2"/>
        <v>0</v>
      </c>
      <c r="AN101" s="23">
        <f t="shared" si="3"/>
        <v>0</v>
      </c>
    </row>
    <row r="102" spans="1:40" ht="25.05" customHeight="1" x14ac:dyDescent="0.3">
      <c r="A102" s="4">
        <v>20600</v>
      </c>
      <c r="B102" s="4" t="s">
        <v>109</v>
      </c>
      <c r="C102" s="8">
        <v>0</v>
      </c>
      <c r="D102" s="9" t="s">
        <v>52</v>
      </c>
      <c r="E102" s="10">
        <v>17.96</v>
      </c>
      <c r="F102" s="13">
        <f t="shared" si="0"/>
        <v>0</v>
      </c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1">
        <f t="shared" si="1"/>
        <v>0</v>
      </c>
      <c r="AM102" s="22">
        <f t="shared" si="2"/>
        <v>0</v>
      </c>
      <c r="AN102" s="23">
        <f t="shared" si="3"/>
        <v>0</v>
      </c>
    </row>
    <row r="103" spans="1:40" ht="25.05" customHeight="1" x14ac:dyDescent="0.3">
      <c r="A103" s="4">
        <v>17178</v>
      </c>
      <c r="B103" s="4" t="s">
        <v>110</v>
      </c>
      <c r="C103" s="8">
        <v>0</v>
      </c>
      <c r="D103" s="9" t="s">
        <v>52</v>
      </c>
      <c r="E103" s="10">
        <v>12.447232</v>
      </c>
      <c r="F103" s="13">
        <f t="shared" si="0"/>
        <v>0</v>
      </c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1">
        <f t="shared" si="1"/>
        <v>0</v>
      </c>
      <c r="AM103" s="22">
        <f t="shared" si="2"/>
        <v>0</v>
      </c>
      <c r="AN103" s="23">
        <f t="shared" si="3"/>
        <v>0</v>
      </c>
    </row>
    <row r="104" spans="1:40" ht="25.05" customHeight="1" x14ac:dyDescent="0.3">
      <c r="A104" s="4">
        <v>25219</v>
      </c>
      <c r="B104" s="4" t="s">
        <v>111</v>
      </c>
      <c r="C104" s="8">
        <v>0</v>
      </c>
      <c r="D104" s="9" t="s">
        <v>52</v>
      </c>
      <c r="E104" s="10">
        <v>12.276667</v>
      </c>
      <c r="F104" s="13">
        <f t="shared" si="0"/>
        <v>0</v>
      </c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1">
        <f t="shared" si="1"/>
        <v>0</v>
      </c>
      <c r="AM104" s="22">
        <f t="shared" si="2"/>
        <v>0</v>
      </c>
      <c r="AN104" s="23">
        <f t="shared" si="3"/>
        <v>0</v>
      </c>
    </row>
    <row r="105" spans="1:40" ht="25.05" customHeight="1" x14ac:dyDescent="0.3">
      <c r="A105" s="4">
        <v>11541</v>
      </c>
      <c r="B105" s="4" t="s">
        <v>112</v>
      </c>
      <c r="C105" s="8">
        <v>0</v>
      </c>
      <c r="D105" s="9" t="s">
        <v>52</v>
      </c>
      <c r="E105" s="10">
        <v>20.299996</v>
      </c>
      <c r="F105" s="13">
        <f t="shared" si="0"/>
        <v>0</v>
      </c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1">
        <f t="shared" si="1"/>
        <v>0</v>
      </c>
      <c r="AM105" s="22">
        <f t="shared" si="2"/>
        <v>0</v>
      </c>
      <c r="AN105" s="23">
        <f t="shared" si="3"/>
        <v>0</v>
      </c>
    </row>
    <row r="106" spans="1:40" ht="25.05" customHeight="1" x14ac:dyDescent="0.3">
      <c r="A106" s="4">
        <v>7556</v>
      </c>
      <c r="B106" s="4" t="s">
        <v>113</v>
      </c>
      <c r="C106" s="8">
        <v>0</v>
      </c>
      <c r="D106" s="9" t="s">
        <v>45</v>
      </c>
      <c r="E106" s="10">
        <v>9.8528509999999994</v>
      </c>
      <c r="F106" s="13">
        <f t="shared" si="0"/>
        <v>0</v>
      </c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1">
        <f t="shared" si="1"/>
        <v>0</v>
      </c>
      <c r="AM106" s="22">
        <f t="shared" si="2"/>
        <v>0</v>
      </c>
      <c r="AN106" s="23">
        <f t="shared" si="3"/>
        <v>0</v>
      </c>
    </row>
    <row r="107" spans="1:40" ht="25.05" customHeight="1" x14ac:dyDescent="0.3">
      <c r="A107" s="4">
        <v>7555</v>
      </c>
      <c r="B107" s="4" t="s">
        <v>114</v>
      </c>
      <c r="C107" s="8">
        <v>0</v>
      </c>
      <c r="D107" s="9" t="s">
        <v>45</v>
      </c>
      <c r="E107" s="10">
        <v>9.9</v>
      </c>
      <c r="F107" s="13">
        <f t="shared" si="0"/>
        <v>0</v>
      </c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1">
        <f t="shared" si="1"/>
        <v>0</v>
      </c>
      <c r="AM107" s="22">
        <f t="shared" si="2"/>
        <v>0</v>
      </c>
      <c r="AN107" s="23">
        <f t="shared" si="3"/>
        <v>0</v>
      </c>
    </row>
    <row r="108" spans="1:40" ht="25.05" customHeight="1" x14ac:dyDescent="0.3">
      <c r="A108" s="4">
        <v>27256</v>
      </c>
      <c r="B108" s="4" t="s">
        <v>115</v>
      </c>
      <c r="C108" s="8">
        <v>0</v>
      </c>
      <c r="D108" s="9" t="s">
        <v>45</v>
      </c>
      <c r="E108" s="10">
        <v>10.158469999999999</v>
      </c>
      <c r="F108" s="13">
        <f t="shared" si="0"/>
        <v>0</v>
      </c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1">
        <f t="shared" si="1"/>
        <v>0</v>
      </c>
      <c r="AM108" s="22">
        <f t="shared" si="2"/>
        <v>0</v>
      </c>
      <c r="AN108" s="23">
        <f t="shared" si="3"/>
        <v>0</v>
      </c>
    </row>
    <row r="109" spans="1:40" ht="25.05" customHeight="1" x14ac:dyDescent="0.3">
      <c r="A109" s="4">
        <v>8559</v>
      </c>
      <c r="B109" s="4" t="s">
        <v>116</v>
      </c>
      <c r="C109" s="8">
        <v>0</v>
      </c>
      <c r="D109" s="9" t="s">
        <v>45</v>
      </c>
      <c r="E109" s="10">
        <v>9.8529990000000005</v>
      </c>
      <c r="F109" s="13">
        <f t="shared" si="0"/>
        <v>0</v>
      </c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1">
        <f t="shared" si="1"/>
        <v>0</v>
      </c>
      <c r="AM109" s="22">
        <f t="shared" si="2"/>
        <v>0</v>
      </c>
      <c r="AN109" s="23">
        <f t="shared" si="3"/>
        <v>0</v>
      </c>
    </row>
    <row r="110" spans="1:40" ht="25.05" customHeight="1" x14ac:dyDescent="0.3">
      <c r="A110" s="4">
        <v>7553</v>
      </c>
      <c r="B110" s="4" t="s">
        <v>117</v>
      </c>
      <c r="C110" s="8">
        <v>0</v>
      </c>
      <c r="D110" s="9" t="s">
        <v>45</v>
      </c>
      <c r="E110" s="10">
        <v>10.163693</v>
      </c>
      <c r="F110" s="13">
        <f t="shared" si="0"/>
        <v>0</v>
      </c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1">
        <f t="shared" si="1"/>
        <v>0</v>
      </c>
      <c r="AM110" s="22">
        <f t="shared" si="2"/>
        <v>0</v>
      </c>
      <c r="AN110" s="23">
        <f t="shared" si="3"/>
        <v>0</v>
      </c>
    </row>
    <row r="111" spans="1:40" ht="25.05" customHeight="1" x14ac:dyDescent="0.3">
      <c r="A111" s="4">
        <v>7560</v>
      </c>
      <c r="B111" s="4" t="s">
        <v>118</v>
      </c>
      <c r="C111" s="8">
        <v>0</v>
      </c>
      <c r="D111" s="9" t="s">
        <v>45</v>
      </c>
      <c r="E111" s="10">
        <v>9.8524139999999996</v>
      </c>
      <c r="F111" s="13">
        <f t="shared" si="0"/>
        <v>0</v>
      </c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1">
        <f t="shared" si="1"/>
        <v>0</v>
      </c>
      <c r="AM111" s="22">
        <f t="shared" si="2"/>
        <v>0</v>
      </c>
      <c r="AN111" s="23">
        <f t="shared" si="3"/>
        <v>0</v>
      </c>
    </row>
    <row r="112" spans="1:40" ht="25.05" customHeight="1" x14ac:dyDescent="0.3">
      <c r="A112" s="4">
        <v>7554</v>
      </c>
      <c r="B112" s="4" t="s">
        <v>119</v>
      </c>
      <c r="C112" s="8">
        <v>0</v>
      </c>
      <c r="D112" s="9" t="s">
        <v>45</v>
      </c>
      <c r="E112" s="10">
        <v>9.8529999999999998</v>
      </c>
      <c r="F112" s="13">
        <f t="shared" si="0"/>
        <v>0</v>
      </c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1">
        <f t="shared" si="1"/>
        <v>0</v>
      </c>
      <c r="AM112" s="22">
        <f t="shared" si="2"/>
        <v>0</v>
      </c>
      <c r="AN112" s="23">
        <f t="shared" si="3"/>
        <v>0</v>
      </c>
    </row>
    <row r="113" spans="1:40" ht="25.05" customHeight="1" x14ac:dyDescent="0.3">
      <c r="A113" s="4">
        <v>115</v>
      </c>
      <c r="B113" s="4" t="s">
        <v>120</v>
      </c>
      <c r="C113" s="8">
        <v>0</v>
      </c>
      <c r="D113" s="9" t="s">
        <v>52</v>
      </c>
      <c r="E113" s="10">
        <v>12.1</v>
      </c>
      <c r="F113" s="13">
        <f t="shared" si="0"/>
        <v>0</v>
      </c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1">
        <f t="shared" si="1"/>
        <v>0</v>
      </c>
      <c r="AM113" s="22">
        <f t="shared" si="2"/>
        <v>0</v>
      </c>
      <c r="AN113" s="23">
        <f t="shared" si="3"/>
        <v>0</v>
      </c>
    </row>
    <row r="114" spans="1:40" ht="25.05" customHeight="1" x14ac:dyDescent="0.3">
      <c r="A114" s="4">
        <v>118</v>
      </c>
      <c r="B114" s="4" t="s">
        <v>121</v>
      </c>
      <c r="C114" s="8">
        <v>0</v>
      </c>
      <c r="D114" s="9" t="s">
        <v>52</v>
      </c>
      <c r="E114" s="10">
        <v>7.7579929999999999</v>
      </c>
      <c r="F114" s="13">
        <f t="shared" si="0"/>
        <v>0</v>
      </c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1">
        <f t="shared" si="1"/>
        <v>0</v>
      </c>
      <c r="AM114" s="22">
        <f t="shared" si="2"/>
        <v>0</v>
      </c>
      <c r="AN114" s="23">
        <f t="shared" si="3"/>
        <v>0</v>
      </c>
    </row>
    <row r="115" spans="1:40" ht="25.05" customHeight="1" x14ac:dyDescent="0.3">
      <c r="A115" s="4">
        <v>1067</v>
      </c>
      <c r="B115" s="4" t="s">
        <v>122</v>
      </c>
      <c r="C115" s="8">
        <v>0</v>
      </c>
      <c r="D115" s="9" t="s">
        <v>52</v>
      </c>
      <c r="E115" s="10">
        <v>9.7715440000000005</v>
      </c>
      <c r="F115" s="13">
        <f t="shared" si="0"/>
        <v>0</v>
      </c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1">
        <f t="shared" si="1"/>
        <v>0</v>
      </c>
      <c r="AM115" s="22">
        <f t="shared" si="2"/>
        <v>0</v>
      </c>
      <c r="AN115" s="23">
        <f t="shared" si="3"/>
        <v>0</v>
      </c>
    </row>
    <row r="116" spans="1:40" ht="25.05" customHeight="1" x14ac:dyDescent="0.3">
      <c r="A116" s="4">
        <v>117</v>
      </c>
      <c r="B116" s="4" t="s">
        <v>123</v>
      </c>
      <c r="C116" s="8">
        <v>0</v>
      </c>
      <c r="D116" s="9" t="s">
        <v>52</v>
      </c>
      <c r="E116" s="10">
        <v>14.447462</v>
      </c>
      <c r="F116" s="13">
        <f t="shared" si="0"/>
        <v>0</v>
      </c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1">
        <f t="shared" si="1"/>
        <v>0</v>
      </c>
      <c r="AM116" s="22">
        <f t="shared" si="2"/>
        <v>0</v>
      </c>
      <c r="AN116" s="23">
        <f t="shared" si="3"/>
        <v>0</v>
      </c>
    </row>
    <row r="117" spans="1:40" ht="25.05" customHeight="1" x14ac:dyDescent="0.3">
      <c r="A117" s="4">
        <v>228</v>
      </c>
      <c r="B117" s="4" t="s">
        <v>124</v>
      </c>
      <c r="C117" s="8">
        <v>0</v>
      </c>
      <c r="D117" s="9" t="s">
        <v>52</v>
      </c>
      <c r="E117" s="10">
        <v>13.47</v>
      </c>
      <c r="F117" s="13">
        <f t="shared" si="0"/>
        <v>0</v>
      </c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1">
        <f t="shared" si="1"/>
        <v>0</v>
      </c>
      <c r="AM117" s="22">
        <f t="shared" si="2"/>
        <v>0</v>
      </c>
      <c r="AN117" s="23">
        <f t="shared" si="3"/>
        <v>0</v>
      </c>
    </row>
    <row r="118" spans="1:40" ht="25.05" customHeight="1" x14ac:dyDescent="0.3">
      <c r="A118" s="4">
        <v>18</v>
      </c>
      <c r="B118" s="4" t="s">
        <v>125</v>
      </c>
      <c r="C118" s="8">
        <v>0</v>
      </c>
      <c r="D118" s="9" t="s">
        <v>52</v>
      </c>
      <c r="E118" s="10">
        <v>15.433332999999999</v>
      </c>
      <c r="F118" s="13">
        <f t="shared" si="0"/>
        <v>0</v>
      </c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1">
        <f t="shared" si="1"/>
        <v>0</v>
      </c>
      <c r="AM118" s="22">
        <f t="shared" si="2"/>
        <v>0</v>
      </c>
      <c r="AN118" s="23">
        <f t="shared" si="3"/>
        <v>0</v>
      </c>
    </row>
    <row r="119" spans="1:40" ht="25.05" customHeight="1" x14ac:dyDescent="0.3">
      <c r="A119" s="4">
        <v>25824</v>
      </c>
      <c r="B119" s="4" t="s">
        <v>126</v>
      </c>
      <c r="C119" s="8">
        <v>0</v>
      </c>
      <c r="D119" s="9" t="s">
        <v>52</v>
      </c>
      <c r="E119" s="10">
        <v>11.11</v>
      </c>
      <c r="F119" s="13">
        <f t="shared" si="0"/>
        <v>0</v>
      </c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1">
        <f t="shared" si="1"/>
        <v>0</v>
      </c>
      <c r="AM119" s="22">
        <f t="shared" si="2"/>
        <v>0</v>
      </c>
      <c r="AN119" s="23">
        <f t="shared" si="3"/>
        <v>0</v>
      </c>
    </row>
    <row r="120" spans="1:40" ht="25.05" customHeight="1" x14ac:dyDescent="0.3">
      <c r="A120" s="4">
        <v>1173</v>
      </c>
      <c r="B120" s="4" t="s">
        <v>127</v>
      </c>
      <c r="C120" s="8">
        <v>0</v>
      </c>
      <c r="D120" s="9" t="s">
        <v>52</v>
      </c>
      <c r="E120" s="10">
        <v>10.5</v>
      </c>
      <c r="F120" s="13">
        <f t="shared" si="0"/>
        <v>0</v>
      </c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1">
        <f t="shared" si="1"/>
        <v>0</v>
      </c>
      <c r="AM120" s="22">
        <f t="shared" si="2"/>
        <v>0</v>
      </c>
      <c r="AN120" s="23">
        <f t="shared" si="3"/>
        <v>0</v>
      </c>
    </row>
    <row r="121" spans="1:40" ht="25.05" customHeight="1" x14ac:dyDescent="0.3">
      <c r="A121" s="4">
        <v>2140</v>
      </c>
      <c r="B121" s="4" t="s">
        <v>128</v>
      </c>
      <c r="C121" s="8">
        <v>0</v>
      </c>
      <c r="D121" s="9" t="s">
        <v>52</v>
      </c>
      <c r="E121" s="10">
        <v>4.6364739999999998</v>
      </c>
      <c r="F121" s="13">
        <f t="shared" si="0"/>
        <v>0</v>
      </c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1">
        <f t="shared" si="1"/>
        <v>0</v>
      </c>
      <c r="AM121" s="22">
        <f t="shared" si="2"/>
        <v>0</v>
      </c>
      <c r="AN121" s="23">
        <f t="shared" si="3"/>
        <v>0</v>
      </c>
    </row>
    <row r="122" spans="1:40" ht="25.05" customHeight="1" x14ac:dyDescent="0.3">
      <c r="A122" s="4">
        <v>2670</v>
      </c>
      <c r="B122" s="4" t="s">
        <v>129</v>
      </c>
      <c r="C122" s="8">
        <v>0</v>
      </c>
      <c r="D122" s="9" t="s">
        <v>52</v>
      </c>
      <c r="E122" s="10">
        <v>4.1581109999999999</v>
      </c>
      <c r="F122" s="13">
        <f t="shared" si="0"/>
        <v>0</v>
      </c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1">
        <f t="shared" si="1"/>
        <v>0</v>
      </c>
      <c r="AM122" s="22">
        <f t="shared" si="2"/>
        <v>0</v>
      </c>
      <c r="AN122" s="23">
        <f t="shared" si="3"/>
        <v>0</v>
      </c>
    </row>
    <row r="123" spans="1:40" ht="25.05" customHeight="1" x14ac:dyDescent="0.3">
      <c r="A123" s="4">
        <v>920967</v>
      </c>
      <c r="B123" s="4" t="s">
        <v>130</v>
      </c>
      <c r="C123" s="8">
        <v>0</v>
      </c>
      <c r="D123" s="9" t="s">
        <v>52</v>
      </c>
      <c r="E123" s="10">
        <v>10.009957999999999</v>
      </c>
      <c r="F123" s="13">
        <f t="shared" si="0"/>
        <v>0</v>
      </c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1">
        <f t="shared" si="1"/>
        <v>0</v>
      </c>
      <c r="AM123" s="22">
        <f t="shared" si="2"/>
        <v>0</v>
      </c>
      <c r="AN123" s="23">
        <f t="shared" si="3"/>
        <v>0</v>
      </c>
    </row>
    <row r="124" spans="1:40" ht="25.05" customHeight="1" x14ac:dyDescent="0.3">
      <c r="A124" s="4">
        <v>121</v>
      </c>
      <c r="B124" s="4" t="s">
        <v>131</v>
      </c>
      <c r="C124" s="8">
        <v>0</v>
      </c>
      <c r="D124" s="9" t="s">
        <v>52</v>
      </c>
      <c r="E124" s="10">
        <v>11.609006000000001</v>
      </c>
      <c r="F124" s="13">
        <f t="shared" si="0"/>
        <v>0</v>
      </c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1">
        <f t="shared" si="1"/>
        <v>0</v>
      </c>
      <c r="AM124" s="22">
        <f t="shared" si="2"/>
        <v>0</v>
      </c>
      <c r="AN124" s="23">
        <f t="shared" si="3"/>
        <v>0</v>
      </c>
    </row>
    <row r="125" spans="1:40" ht="25.05" customHeight="1" x14ac:dyDescent="0.3">
      <c r="A125" s="4">
        <v>19849</v>
      </c>
      <c r="B125" s="4" t="s">
        <v>132</v>
      </c>
      <c r="C125" s="8">
        <v>0</v>
      </c>
      <c r="D125" s="9" t="s">
        <v>45</v>
      </c>
      <c r="E125" s="10">
        <v>5.7855379999999998</v>
      </c>
      <c r="F125" s="13">
        <f t="shared" si="0"/>
        <v>0</v>
      </c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1">
        <f t="shared" si="1"/>
        <v>0</v>
      </c>
      <c r="AM125" s="22">
        <f t="shared" si="2"/>
        <v>0</v>
      </c>
      <c r="AN125" s="23">
        <f t="shared" si="3"/>
        <v>0</v>
      </c>
    </row>
    <row r="126" spans="1:40" ht="25.05" customHeight="1" x14ac:dyDescent="0.3">
      <c r="A126" s="4">
        <v>28911</v>
      </c>
      <c r="B126" s="4" t="s">
        <v>133</v>
      </c>
      <c r="C126" s="8">
        <v>0</v>
      </c>
      <c r="D126" s="9" t="s">
        <v>45</v>
      </c>
      <c r="E126" s="10">
        <v>5.7460000000000004</v>
      </c>
      <c r="F126" s="13">
        <f t="shared" si="0"/>
        <v>0</v>
      </c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1">
        <f t="shared" si="1"/>
        <v>0</v>
      </c>
      <c r="AM126" s="22">
        <f t="shared" si="2"/>
        <v>0</v>
      </c>
      <c r="AN126" s="23">
        <f t="shared" si="3"/>
        <v>0</v>
      </c>
    </row>
    <row r="127" spans="1:40" ht="25.05" customHeight="1" x14ac:dyDescent="0.3">
      <c r="A127" s="4">
        <v>20425</v>
      </c>
      <c r="B127" s="4" t="s">
        <v>134</v>
      </c>
      <c r="C127" s="8">
        <v>0</v>
      </c>
      <c r="D127" s="9" t="s">
        <v>45</v>
      </c>
      <c r="E127" s="10">
        <v>5.7855990000000004</v>
      </c>
      <c r="F127" s="13">
        <f t="shared" si="0"/>
        <v>0</v>
      </c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1">
        <f t="shared" si="1"/>
        <v>0</v>
      </c>
      <c r="AM127" s="22">
        <f t="shared" si="2"/>
        <v>0</v>
      </c>
      <c r="AN127" s="23">
        <f t="shared" si="3"/>
        <v>0</v>
      </c>
    </row>
    <row r="128" spans="1:40" ht="25.05" customHeight="1" x14ac:dyDescent="0.3">
      <c r="A128" s="4">
        <v>24747</v>
      </c>
      <c r="B128" s="4" t="s">
        <v>135</v>
      </c>
      <c r="C128" s="8">
        <v>0</v>
      </c>
      <c r="D128" s="9" t="s">
        <v>45</v>
      </c>
      <c r="E128" s="10">
        <v>5.7855999999999996</v>
      </c>
      <c r="F128" s="13">
        <f t="shared" si="0"/>
        <v>0</v>
      </c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1">
        <f t="shared" si="1"/>
        <v>0</v>
      </c>
      <c r="AM128" s="22">
        <f t="shared" si="2"/>
        <v>0</v>
      </c>
      <c r="AN128" s="23">
        <f t="shared" si="3"/>
        <v>0</v>
      </c>
    </row>
    <row r="129" spans="1:40" ht="25.05" customHeight="1" x14ac:dyDescent="0.3">
      <c r="A129" s="4">
        <v>51</v>
      </c>
      <c r="B129" s="4" t="s">
        <v>136</v>
      </c>
      <c r="C129" s="8">
        <v>0</v>
      </c>
      <c r="D129" s="9" t="s">
        <v>52</v>
      </c>
      <c r="E129" s="10">
        <v>3.0608230000000001</v>
      </c>
      <c r="F129" s="13">
        <f t="shared" si="0"/>
        <v>0</v>
      </c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1">
        <f t="shared" si="1"/>
        <v>0</v>
      </c>
      <c r="AM129" s="22">
        <f t="shared" si="2"/>
        <v>0</v>
      </c>
      <c r="AN129" s="23">
        <f t="shared" si="3"/>
        <v>0</v>
      </c>
    </row>
    <row r="130" spans="1:40" ht="25.05" customHeight="1" x14ac:dyDescent="0.3">
      <c r="A130" s="4">
        <v>952</v>
      </c>
      <c r="B130" s="4" t="s">
        <v>137</v>
      </c>
      <c r="C130" s="8">
        <v>0</v>
      </c>
      <c r="D130" s="9" t="s">
        <v>52</v>
      </c>
      <c r="E130" s="10">
        <v>2.63</v>
      </c>
      <c r="F130" s="13">
        <f t="shared" si="0"/>
        <v>0</v>
      </c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1">
        <f t="shared" si="1"/>
        <v>0</v>
      </c>
      <c r="AM130" s="22">
        <f t="shared" si="2"/>
        <v>0</v>
      </c>
      <c r="AN130" s="23">
        <f t="shared" si="3"/>
        <v>0</v>
      </c>
    </row>
    <row r="131" spans="1:40" ht="25.05" customHeight="1" x14ac:dyDescent="0.3">
      <c r="A131" s="4">
        <v>6171</v>
      </c>
      <c r="B131" s="4" t="s">
        <v>138</v>
      </c>
      <c r="C131" s="8">
        <v>0</v>
      </c>
      <c r="D131" s="9" t="s">
        <v>52</v>
      </c>
      <c r="E131" s="10">
        <v>3.4596930000000001</v>
      </c>
      <c r="F131" s="13">
        <f t="shared" si="0"/>
        <v>0</v>
      </c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1">
        <f t="shared" si="1"/>
        <v>0</v>
      </c>
      <c r="AM131" s="22">
        <f t="shared" si="2"/>
        <v>0</v>
      </c>
      <c r="AN131" s="23">
        <f t="shared" si="3"/>
        <v>0</v>
      </c>
    </row>
    <row r="132" spans="1:40" ht="25.05" customHeight="1" x14ac:dyDescent="0.3">
      <c r="A132" s="4">
        <v>6170</v>
      </c>
      <c r="B132" s="4" t="s">
        <v>139</v>
      </c>
      <c r="C132" s="8">
        <v>0</v>
      </c>
      <c r="D132" s="9" t="s">
        <v>52</v>
      </c>
      <c r="E132" s="10">
        <v>3.129988</v>
      </c>
      <c r="F132" s="13">
        <f t="shared" si="0"/>
        <v>0</v>
      </c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1">
        <f t="shared" si="1"/>
        <v>0</v>
      </c>
      <c r="AM132" s="22">
        <f t="shared" si="2"/>
        <v>0</v>
      </c>
      <c r="AN132" s="23">
        <f t="shared" si="3"/>
        <v>0</v>
      </c>
    </row>
    <row r="133" spans="1:40" ht="25.05" customHeight="1" x14ac:dyDescent="0.3">
      <c r="A133" s="4">
        <v>11243</v>
      </c>
      <c r="B133" s="4" t="s">
        <v>140</v>
      </c>
      <c r="C133" s="8">
        <v>0</v>
      </c>
      <c r="D133" s="9" t="s">
        <v>52</v>
      </c>
      <c r="E133" s="10">
        <v>16.89</v>
      </c>
      <c r="F133" s="13">
        <f t="shared" si="0"/>
        <v>0</v>
      </c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1">
        <f t="shared" si="1"/>
        <v>0</v>
      </c>
      <c r="AM133" s="22">
        <f t="shared" si="2"/>
        <v>0</v>
      </c>
      <c r="AN133" s="23">
        <f t="shared" si="3"/>
        <v>0</v>
      </c>
    </row>
    <row r="134" spans="1:40" ht="25.05" customHeight="1" x14ac:dyDescent="0.3">
      <c r="A134" s="4">
        <v>173</v>
      </c>
      <c r="B134" s="4" t="s">
        <v>141</v>
      </c>
      <c r="C134" s="8">
        <v>0</v>
      </c>
      <c r="D134" s="9" t="s">
        <v>45</v>
      </c>
      <c r="E134" s="10">
        <v>7.0211129999999997</v>
      </c>
      <c r="F134" s="13">
        <f t="shared" si="0"/>
        <v>0</v>
      </c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1">
        <f t="shared" si="1"/>
        <v>0</v>
      </c>
      <c r="AM134" s="22">
        <f t="shared" si="2"/>
        <v>0</v>
      </c>
      <c r="AN134" s="23">
        <f t="shared" si="3"/>
        <v>0</v>
      </c>
    </row>
    <row r="135" spans="1:40" ht="25.05" customHeight="1" x14ac:dyDescent="0.3">
      <c r="A135" s="4">
        <v>9155</v>
      </c>
      <c r="B135" s="4" t="s">
        <v>142</v>
      </c>
      <c r="C135" s="8">
        <v>0</v>
      </c>
      <c r="D135" s="9" t="s">
        <v>45</v>
      </c>
      <c r="E135" s="10">
        <v>7.0177269999999998</v>
      </c>
      <c r="F135" s="13">
        <f t="shared" si="0"/>
        <v>0</v>
      </c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1">
        <f t="shared" si="1"/>
        <v>0</v>
      </c>
      <c r="AM135" s="22">
        <f t="shared" si="2"/>
        <v>0</v>
      </c>
      <c r="AN135" s="23">
        <f t="shared" si="3"/>
        <v>0</v>
      </c>
    </row>
    <row r="136" spans="1:40" ht="25.05" customHeight="1" x14ac:dyDescent="0.3">
      <c r="A136" s="4">
        <v>21366</v>
      </c>
      <c r="B136" s="4" t="s">
        <v>143</v>
      </c>
      <c r="C136" s="8">
        <v>0</v>
      </c>
      <c r="D136" s="9" t="s">
        <v>45</v>
      </c>
      <c r="E136" s="10">
        <v>5.9713630000000002</v>
      </c>
      <c r="F136" s="13">
        <f t="shared" si="0"/>
        <v>0</v>
      </c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1">
        <f t="shared" si="1"/>
        <v>0</v>
      </c>
      <c r="AM136" s="22">
        <f t="shared" si="2"/>
        <v>0</v>
      </c>
      <c r="AN136" s="23">
        <f t="shared" si="3"/>
        <v>0</v>
      </c>
    </row>
    <row r="137" spans="1:40" ht="25.05" customHeight="1" x14ac:dyDescent="0.3">
      <c r="A137" s="4">
        <v>21367</v>
      </c>
      <c r="B137" s="4" t="s">
        <v>144</v>
      </c>
      <c r="C137" s="8">
        <v>0</v>
      </c>
      <c r="D137" s="9" t="s">
        <v>45</v>
      </c>
      <c r="E137" s="10">
        <v>5.9700819999999997</v>
      </c>
      <c r="F137" s="13">
        <f t="shared" si="0"/>
        <v>0</v>
      </c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1">
        <f t="shared" si="1"/>
        <v>0</v>
      </c>
      <c r="AM137" s="22">
        <f t="shared" si="2"/>
        <v>0</v>
      </c>
      <c r="AN137" s="23">
        <f t="shared" si="3"/>
        <v>0</v>
      </c>
    </row>
    <row r="138" spans="1:40" ht="25.05" customHeight="1" x14ac:dyDescent="0.3">
      <c r="A138" s="4">
        <v>7563</v>
      </c>
      <c r="B138" s="4" t="s">
        <v>145</v>
      </c>
      <c r="C138" s="8">
        <v>0</v>
      </c>
      <c r="D138" s="9" t="s">
        <v>45</v>
      </c>
      <c r="E138" s="10">
        <v>5.7855970000000001</v>
      </c>
      <c r="F138" s="13">
        <f t="shared" si="0"/>
        <v>0</v>
      </c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1">
        <f t="shared" si="1"/>
        <v>0</v>
      </c>
      <c r="AM138" s="22">
        <f t="shared" si="2"/>
        <v>0</v>
      </c>
      <c r="AN138" s="23">
        <f t="shared" si="3"/>
        <v>0</v>
      </c>
    </row>
    <row r="139" spans="1:40" ht="25.05" customHeight="1" x14ac:dyDescent="0.3">
      <c r="A139" s="4">
        <v>26662</v>
      </c>
      <c r="B139" s="4" t="s">
        <v>146</v>
      </c>
      <c r="C139" s="8">
        <v>0</v>
      </c>
      <c r="D139" s="9" t="s">
        <v>45</v>
      </c>
      <c r="E139" s="10">
        <v>7.0648390000000001</v>
      </c>
      <c r="F139" s="13">
        <f t="shared" si="0"/>
        <v>0</v>
      </c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1">
        <f t="shared" si="1"/>
        <v>0</v>
      </c>
      <c r="AM139" s="22">
        <f t="shared" si="2"/>
        <v>0</v>
      </c>
      <c r="AN139" s="23">
        <f t="shared" si="3"/>
        <v>0</v>
      </c>
    </row>
    <row r="140" spans="1:40" ht="25.05" customHeight="1" x14ac:dyDescent="0.3">
      <c r="A140" s="4">
        <v>4098</v>
      </c>
      <c r="B140" s="4" t="s">
        <v>147</v>
      </c>
      <c r="C140" s="8">
        <v>0</v>
      </c>
      <c r="D140" s="9" t="s">
        <v>45</v>
      </c>
      <c r="E140" s="10">
        <v>7.6805719999999997</v>
      </c>
      <c r="F140" s="13">
        <f t="shared" si="0"/>
        <v>0</v>
      </c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1">
        <f t="shared" si="1"/>
        <v>0</v>
      </c>
      <c r="AM140" s="22">
        <f t="shared" si="2"/>
        <v>0</v>
      </c>
      <c r="AN140" s="23">
        <f t="shared" si="3"/>
        <v>0</v>
      </c>
    </row>
    <row r="141" spans="1:40" ht="25.05" customHeight="1" x14ac:dyDescent="0.3">
      <c r="A141" s="4">
        <v>26193</v>
      </c>
      <c r="B141" s="4" t="s">
        <v>148</v>
      </c>
      <c r="C141" s="8">
        <v>0</v>
      </c>
      <c r="D141" s="9" t="s">
        <v>52</v>
      </c>
      <c r="E141" s="10">
        <v>0.65934199999999998</v>
      </c>
      <c r="F141" s="13">
        <f t="shared" si="0"/>
        <v>0</v>
      </c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1">
        <f t="shared" si="1"/>
        <v>0</v>
      </c>
      <c r="AM141" s="22">
        <f t="shared" si="2"/>
        <v>0</v>
      </c>
      <c r="AN141" s="23">
        <f t="shared" si="3"/>
        <v>0</v>
      </c>
    </row>
    <row r="142" spans="1:40" ht="25.05" customHeight="1" x14ac:dyDescent="0.3">
      <c r="A142" s="4">
        <v>17110</v>
      </c>
      <c r="B142" s="4" t="s">
        <v>149</v>
      </c>
      <c r="C142" s="8">
        <v>0</v>
      </c>
      <c r="D142" s="9" t="s">
        <v>52</v>
      </c>
      <c r="E142" s="10">
        <v>0.42414499999999999</v>
      </c>
      <c r="F142" s="13">
        <f t="shared" si="0"/>
        <v>0</v>
      </c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1">
        <f t="shared" si="1"/>
        <v>0</v>
      </c>
      <c r="AM142" s="22">
        <f t="shared" si="2"/>
        <v>0</v>
      </c>
      <c r="AN142" s="23">
        <f t="shared" si="3"/>
        <v>0</v>
      </c>
    </row>
    <row r="143" spans="1:40" ht="25.05" customHeight="1" x14ac:dyDescent="0.3">
      <c r="A143" s="4">
        <v>17111</v>
      </c>
      <c r="B143" s="4" t="s">
        <v>150</v>
      </c>
      <c r="C143" s="8">
        <v>0</v>
      </c>
      <c r="D143" s="9" t="s">
        <v>52</v>
      </c>
      <c r="E143" s="10">
        <v>0.42435</v>
      </c>
      <c r="F143" s="13">
        <f t="shared" si="0"/>
        <v>0</v>
      </c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1">
        <f t="shared" si="1"/>
        <v>0</v>
      </c>
      <c r="AM143" s="22">
        <f t="shared" si="2"/>
        <v>0</v>
      </c>
      <c r="AN143" s="23">
        <f t="shared" si="3"/>
        <v>0</v>
      </c>
    </row>
    <row r="144" spans="1:40" ht="25.05" customHeight="1" x14ac:dyDescent="0.3">
      <c r="A144" s="4">
        <v>19391</v>
      </c>
      <c r="B144" s="4" t="s">
        <v>151</v>
      </c>
      <c r="C144" s="8">
        <v>0</v>
      </c>
      <c r="D144" s="9" t="s">
        <v>52</v>
      </c>
      <c r="E144" s="10">
        <v>0.39499800000000002</v>
      </c>
      <c r="F144" s="13">
        <f t="shared" si="0"/>
        <v>0</v>
      </c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1">
        <f t="shared" si="1"/>
        <v>0</v>
      </c>
      <c r="AM144" s="22">
        <f t="shared" si="2"/>
        <v>0</v>
      </c>
      <c r="AN144" s="23">
        <f t="shared" si="3"/>
        <v>0</v>
      </c>
    </row>
    <row r="145" spans="1:40" ht="25.05" customHeight="1" x14ac:dyDescent="0.3">
      <c r="A145" s="4">
        <v>19392</v>
      </c>
      <c r="B145" s="4" t="s">
        <v>152</v>
      </c>
      <c r="C145" s="8">
        <v>0</v>
      </c>
      <c r="D145" s="9" t="s">
        <v>52</v>
      </c>
      <c r="E145" s="10">
        <v>0.39622299999999999</v>
      </c>
      <c r="F145" s="13">
        <f t="shared" si="0"/>
        <v>0</v>
      </c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1">
        <f t="shared" si="1"/>
        <v>0</v>
      </c>
      <c r="AM145" s="22">
        <f t="shared" si="2"/>
        <v>0</v>
      </c>
      <c r="AN145" s="23">
        <f t="shared" si="3"/>
        <v>0</v>
      </c>
    </row>
    <row r="146" spans="1:40" ht="25.05" customHeight="1" x14ac:dyDescent="0.3">
      <c r="A146" s="4">
        <v>19113</v>
      </c>
      <c r="B146" s="4" t="s">
        <v>153</v>
      </c>
      <c r="C146" s="8">
        <v>0</v>
      </c>
      <c r="D146" s="9" t="s">
        <v>52</v>
      </c>
      <c r="E146" s="10">
        <v>0.69125000000000003</v>
      </c>
      <c r="F146" s="13">
        <f t="shared" si="0"/>
        <v>0</v>
      </c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1">
        <f t="shared" si="1"/>
        <v>0</v>
      </c>
      <c r="AM146" s="22">
        <f t="shared" si="2"/>
        <v>0</v>
      </c>
      <c r="AN146" s="23">
        <f t="shared" si="3"/>
        <v>0</v>
      </c>
    </row>
    <row r="147" spans="1:40" ht="25.05" customHeight="1" x14ac:dyDescent="0.3">
      <c r="A147" s="4">
        <v>1802</v>
      </c>
      <c r="B147" s="4" t="s">
        <v>154</v>
      </c>
      <c r="C147" s="8">
        <v>0</v>
      </c>
      <c r="D147" s="9" t="s">
        <v>52</v>
      </c>
      <c r="E147" s="10">
        <v>0.35933500000000002</v>
      </c>
      <c r="F147" s="13">
        <f t="shared" si="0"/>
        <v>0</v>
      </c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1">
        <f t="shared" si="1"/>
        <v>0</v>
      </c>
      <c r="AM147" s="22">
        <f t="shared" si="2"/>
        <v>0</v>
      </c>
      <c r="AN147" s="23">
        <f t="shared" si="3"/>
        <v>0</v>
      </c>
    </row>
    <row r="148" spans="1:40" ht="25.05" customHeight="1" x14ac:dyDescent="0.3">
      <c r="A148" s="4">
        <v>12995</v>
      </c>
      <c r="B148" s="4" t="s">
        <v>155</v>
      </c>
      <c r="C148" s="8">
        <v>0</v>
      </c>
      <c r="D148" s="9" t="s">
        <v>52</v>
      </c>
      <c r="E148" s="10">
        <v>1.149999</v>
      </c>
      <c r="F148" s="13">
        <f t="shared" si="0"/>
        <v>0</v>
      </c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1">
        <f t="shared" si="1"/>
        <v>0</v>
      </c>
      <c r="AM148" s="22">
        <f t="shared" si="2"/>
        <v>0</v>
      </c>
      <c r="AN148" s="23">
        <f t="shared" si="3"/>
        <v>0</v>
      </c>
    </row>
    <row r="149" spans="1:40" ht="25.05" customHeight="1" x14ac:dyDescent="0.3">
      <c r="A149" s="4">
        <v>4100</v>
      </c>
      <c r="B149" s="4" t="s">
        <v>156</v>
      </c>
      <c r="C149" s="8">
        <v>0</v>
      </c>
      <c r="D149" s="9" t="s">
        <v>52</v>
      </c>
      <c r="E149" s="10">
        <v>0.41187499999999999</v>
      </c>
      <c r="F149" s="13">
        <f t="shared" si="0"/>
        <v>0</v>
      </c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1">
        <f t="shared" si="1"/>
        <v>0</v>
      </c>
      <c r="AM149" s="22">
        <f t="shared" si="2"/>
        <v>0</v>
      </c>
      <c r="AN149" s="23">
        <f t="shared" si="3"/>
        <v>0</v>
      </c>
    </row>
    <row r="150" spans="1:40" ht="25.05" customHeight="1" x14ac:dyDescent="0.3">
      <c r="A150" s="4">
        <v>19112</v>
      </c>
      <c r="B150" s="4" t="s">
        <v>157</v>
      </c>
      <c r="C150" s="8">
        <v>0</v>
      </c>
      <c r="D150" s="9" t="s">
        <v>52</v>
      </c>
      <c r="E150" s="10">
        <v>0.63958000000000004</v>
      </c>
      <c r="F150" s="13">
        <f t="shared" si="0"/>
        <v>0</v>
      </c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1">
        <f t="shared" si="1"/>
        <v>0</v>
      </c>
      <c r="AM150" s="22">
        <f t="shared" si="2"/>
        <v>0</v>
      </c>
      <c r="AN150" s="23">
        <f t="shared" si="3"/>
        <v>0</v>
      </c>
    </row>
    <row r="151" spans="1:40" ht="25.05" customHeight="1" x14ac:dyDescent="0.3">
      <c r="A151" s="4">
        <v>19108</v>
      </c>
      <c r="B151" s="4" t="s">
        <v>158</v>
      </c>
      <c r="C151" s="8">
        <v>0</v>
      </c>
      <c r="D151" s="9" t="s">
        <v>52</v>
      </c>
      <c r="E151" s="10">
        <v>0.61285800000000001</v>
      </c>
      <c r="F151" s="13">
        <f t="shared" si="0"/>
        <v>0</v>
      </c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1">
        <f t="shared" si="1"/>
        <v>0</v>
      </c>
      <c r="AM151" s="22">
        <f t="shared" si="2"/>
        <v>0</v>
      </c>
      <c r="AN151" s="23">
        <f t="shared" si="3"/>
        <v>0</v>
      </c>
    </row>
    <row r="152" spans="1:40" ht="25.05" customHeight="1" x14ac:dyDescent="0.3">
      <c r="A152" s="4">
        <v>27935</v>
      </c>
      <c r="B152" s="4" t="s">
        <v>159</v>
      </c>
      <c r="C152" s="8">
        <v>0</v>
      </c>
      <c r="D152" s="9" t="s">
        <v>52</v>
      </c>
      <c r="E152" s="10">
        <v>0.69125000000000003</v>
      </c>
      <c r="F152" s="13">
        <f t="shared" si="0"/>
        <v>0</v>
      </c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1">
        <f t="shared" si="1"/>
        <v>0</v>
      </c>
      <c r="AM152" s="22">
        <f t="shared" si="2"/>
        <v>0</v>
      </c>
      <c r="AN152" s="23">
        <f t="shared" si="3"/>
        <v>0</v>
      </c>
    </row>
    <row r="153" spans="1:40" ht="25.05" customHeight="1" x14ac:dyDescent="0.3">
      <c r="A153" s="4">
        <v>27731</v>
      </c>
      <c r="B153" s="4" t="s">
        <v>160</v>
      </c>
      <c r="C153" s="8">
        <v>0</v>
      </c>
      <c r="D153" s="9" t="s">
        <v>45</v>
      </c>
      <c r="E153" s="10">
        <v>9.0108470000000001</v>
      </c>
      <c r="F153" s="13">
        <f t="shared" si="0"/>
        <v>0</v>
      </c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1">
        <f t="shared" si="1"/>
        <v>0</v>
      </c>
      <c r="AM153" s="22">
        <f t="shared" si="2"/>
        <v>0</v>
      </c>
      <c r="AN153" s="23">
        <f t="shared" si="3"/>
        <v>0</v>
      </c>
    </row>
    <row r="154" spans="1:40" ht="25.05" customHeight="1" x14ac:dyDescent="0.3">
      <c r="A154" s="4">
        <v>128</v>
      </c>
      <c r="B154" s="4" t="s">
        <v>161</v>
      </c>
      <c r="C154" s="8">
        <v>0</v>
      </c>
      <c r="D154" s="9" t="s">
        <v>52</v>
      </c>
      <c r="E154" s="10">
        <v>13.1</v>
      </c>
      <c r="F154" s="13">
        <f t="shared" si="0"/>
        <v>0</v>
      </c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1">
        <f t="shared" si="1"/>
        <v>0</v>
      </c>
      <c r="AM154" s="22">
        <f t="shared" si="2"/>
        <v>0</v>
      </c>
      <c r="AN154" s="23">
        <f t="shared" si="3"/>
        <v>0</v>
      </c>
    </row>
    <row r="155" spans="1:40" ht="25.05" customHeight="1" x14ac:dyDescent="0.3">
      <c r="A155" s="4">
        <v>987035</v>
      </c>
      <c r="B155" s="4" t="s">
        <v>162</v>
      </c>
      <c r="C155" s="8">
        <v>0</v>
      </c>
      <c r="D155" s="9" t="s">
        <v>52</v>
      </c>
      <c r="E155" s="10">
        <v>11.5</v>
      </c>
      <c r="F155" s="13">
        <f t="shared" si="0"/>
        <v>0</v>
      </c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1">
        <f t="shared" si="1"/>
        <v>0</v>
      </c>
      <c r="AM155" s="22">
        <f t="shared" si="2"/>
        <v>0</v>
      </c>
      <c r="AN155" s="23">
        <f t="shared" si="3"/>
        <v>0</v>
      </c>
    </row>
    <row r="156" spans="1:40" ht="25.05" customHeight="1" x14ac:dyDescent="0.3">
      <c r="A156" s="4">
        <v>6991</v>
      </c>
      <c r="B156" s="4" t="s">
        <v>163</v>
      </c>
      <c r="C156" s="8">
        <v>0</v>
      </c>
      <c r="D156" s="9" t="s">
        <v>52</v>
      </c>
      <c r="E156" s="10">
        <v>11.994908000000001</v>
      </c>
      <c r="F156" s="13">
        <f t="shared" si="0"/>
        <v>0</v>
      </c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1">
        <f t="shared" si="1"/>
        <v>0</v>
      </c>
      <c r="AM156" s="22">
        <f t="shared" si="2"/>
        <v>0</v>
      </c>
      <c r="AN156" s="23">
        <f t="shared" si="3"/>
        <v>0</v>
      </c>
    </row>
    <row r="157" spans="1:40" ht="25.05" customHeight="1" x14ac:dyDescent="0.3">
      <c r="A157" s="4">
        <v>970612</v>
      </c>
      <c r="B157" s="4" t="s">
        <v>164</v>
      </c>
      <c r="C157" s="8">
        <v>0</v>
      </c>
      <c r="D157" s="9" t="s">
        <v>52</v>
      </c>
      <c r="E157" s="10">
        <v>40.748562999999997</v>
      </c>
      <c r="F157" s="13">
        <f t="shared" si="0"/>
        <v>0</v>
      </c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1">
        <f t="shared" si="1"/>
        <v>0</v>
      </c>
      <c r="AM157" s="22">
        <f t="shared" si="2"/>
        <v>0</v>
      </c>
      <c r="AN157" s="23">
        <f t="shared" si="3"/>
        <v>0</v>
      </c>
    </row>
    <row r="158" spans="1:40" ht="25.05" customHeight="1" x14ac:dyDescent="0.3">
      <c r="A158" s="4">
        <v>58</v>
      </c>
      <c r="B158" s="4" t="s">
        <v>165</v>
      </c>
      <c r="C158" s="8">
        <v>0</v>
      </c>
      <c r="D158" s="9" t="s">
        <v>52</v>
      </c>
      <c r="E158" s="10">
        <v>10.29</v>
      </c>
      <c r="F158" s="13">
        <f t="shared" si="0"/>
        <v>0</v>
      </c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1">
        <f t="shared" si="1"/>
        <v>0</v>
      </c>
      <c r="AM158" s="22">
        <f t="shared" si="2"/>
        <v>0</v>
      </c>
      <c r="AN158" s="23">
        <f t="shared" si="3"/>
        <v>0</v>
      </c>
    </row>
    <row r="159" spans="1:40" ht="25.05" customHeight="1" x14ac:dyDescent="0.3">
      <c r="A159" s="4">
        <v>61</v>
      </c>
      <c r="B159" s="4" t="s">
        <v>166</v>
      </c>
      <c r="C159" s="8">
        <v>0</v>
      </c>
      <c r="D159" s="9" t="s">
        <v>52</v>
      </c>
      <c r="E159" s="10">
        <v>18.072886</v>
      </c>
      <c r="F159" s="13">
        <f t="shared" si="0"/>
        <v>0</v>
      </c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1">
        <f t="shared" si="1"/>
        <v>0</v>
      </c>
      <c r="AM159" s="22">
        <f t="shared" si="2"/>
        <v>0</v>
      </c>
      <c r="AN159" s="23">
        <f t="shared" si="3"/>
        <v>0</v>
      </c>
    </row>
    <row r="160" spans="1:40" ht="25.05" customHeight="1" x14ac:dyDescent="0.3">
      <c r="A160" s="4">
        <v>28010</v>
      </c>
      <c r="B160" s="4" t="s">
        <v>167</v>
      </c>
      <c r="C160" s="8">
        <v>0</v>
      </c>
      <c r="D160" s="9" t="s">
        <v>52</v>
      </c>
      <c r="E160" s="10">
        <v>20.75</v>
      </c>
      <c r="F160" s="13">
        <f t="shared" si="0"/>
        <v>0</v>
      </c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1">
        <f t="shared" si="1"/>
        <v>0</v>
      </c>
      <c r="AM160" s="22">
        <f t="shared" si="2"/>
        <v>0</v>
      </c>
      <c r="AN160" s="23">
        <f t="shared" si="3"/>
        <v>0</v>
      </c>
    </row>
    <row r="161" spans="1:40" ht="25.05" customHeight="1" x14ac:dyDescent="0.3">
      <c r="A161" s="4">
        <v>909569</v>
      </c>
      <c r="B161" s="4" t="s">
        <v>168</v>
      </c>
      <c r="C161" s="8">
        <v>0</v>
      </c>
      <c r="D161" s="9" t="s">
        <v>52</v>
      </c>
      <c r="E161" s="10">
        <v>12.605797000000001</v>
      </c>
      <c r="F161" s="13">
        <f t="shared" si="0"/>
        <v>0</v>
      </c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1">
        <f t="shared" si="1"/>
        <v>0</v>
      </c>
      <c r="AM161" s="22">
        <f t="shared" si="2"/>
        <v>0</v>
      </c>
      <c r="AN161" s="23">
        <f t="shared" si="3"/>
        <v>0</v>
      </c>
    </row>
    <row r="162" spans="1:40" ht="25.05" customHeight="1" x14ac:dyDescent="0.3">
      <c r="A162" s="4">
        <v>4755</v>
      </c>
      <c r="B162" s="4" t="s">
        <v>169</v>
      </c>
      <c r="C162" s="8">
        <v>0</v>
      </c>
      <c r="D162" s="9" t="s">
        <v>52</v>
      </c>
      <c r="E162" s="10">
        <v>11.994892999999999</v>
      </c>
      <c r="F162" s="13">
        <f t="shared" si="0"/>
        <v>0</v>
      </c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1">
        <f t="shared" si="1"/>
        <v>0</v>
      </c>
      <c r="AM162" s="22">
        <f t="shared" si="2"/>
        <v>0</v>
      </c>
      <c r="AN162" s="23">
        <f t="shared" si="3"/>
        <v>0</v>
      </c>
    </row>
    <row r="163" spans="1:40" ht="25.05" customHeight="1" x14ac:dyDescent="0.3">
      <c r="A163" s="4">
        <v>15593</v>
      </c>
      <c r="B163" s="4" t="s">
        <v>170</v>
      </c>
      <c r="C163" s="8">
        <v>0</v>
      </c>
      <c r="D163" s="9" t="s">
        <v>52</v>
      </c>
      <c r="E163" s="10">
        <v>2.0539999999999998</v>
      </c>
      <c r="F163" s="13">
        <f t="shared" si="0"/>
        <v>0</v>
      </c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1">
        <f t="shared" si="1"/>
        <v>0</v>
      </c>
      <c r="AM163" s="22">
        <f t="shared" si="2"/>
        <v>0</v>
      </c>
      <c r="AN163" s="23">
        <f t="shared" si="3"/>
        <v>0</v>
      </c>
    </row>
    <row r="164" spans="1:40" ht="25.05" customHeight="1" x14ac:dyDescent="0.3">
      <c r="A164" s="4">
        <v>6903</v>
      </c>
      <c r="B164" s="4" t="s">
        <v>171</v>
      </c>
      <c r="C164" s="8">
        <v>0</v>
      </c>
      <c r="D164" s="9" t="s">
        <v>52</v>
      </c>
      <c r="E164" s="10">
        <v>2.1797140000000002</v>
      </c>
      <c r="F164" s="13">
        <f t="shared" si="0"/>
        <v>0</v>
      </c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1">
        <f t="shared" si="1"/>
        <v>0</v>
      </c>
      <c r="AM164" s="22">
        <f t="shared" si="2"/>
        <v>0</v>
      </c>
      <c r="AN164" s="23">
        <f t="shared" si="3"/>
        <v>0</v>
      </c>
    </row>
    <row r="165" spans="1:40" ht="25.05" customHeight="1" x14ac:dyDescent="0.3">
      <c r="A165" s="4">
        <v>14990</v>
      </c>
      <c r="B165" s="4" t="s">
        <v>172</v>
      </c>
      <c r="C165" s="8">
        <v>0</v>
      </c>
      <c r="D165" s="9" t="s">
        <v>52</v>
      </c>
      <c r="E165" s="10">
        <v>1.8499220000000001</v>
      </c>
      <c r="F165" s="13">
        <f t="shared" si="0"/>
        <v>0</v>
      </c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1">
        <f t="shared" si="1"/>
        <v>0</v>
      </c>
      <c r="AM165" s="22">
        <f t="shared" si="2"/>
        <v>0</v>
      </c>
      <c r="AN165" s="23">
        <f t="shared" si="3"/>
        <v>0</v>
      </c>
    </row>
    <row r="166" spans="1:40" ht="25.05" customHeight="1" x14ac:dyDescent="0.3">
      <c r="A166" s="4">
        <v>15594</v>
      </c>
      <c r="B166" s="4" t="s">
        <v>173</v>
      </c>
      <c r="C166" s="8">
        <v>0</v>
      </c>
      <c r="D166" s="9" t="s">
        <v>52</v>
      </c>
      <c r="E166" s="10">
        <v>2.0539999999999998</v>
      </c>
      <c r="F166" s="13">
        <f t="shared" si="0"/>
        <v>0</v>
      </c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1">
        <f t="shared" si="1"/>
        <v>0</v>
      </c>
      <c r="AM166" s="22">
        <f t="shared" si="2"/>
        <v>0</v>
      </c>
      <c r="AN166" s="23">
        <f t="shared" si="3"/>
        <v>0</v>
      </c>
    </row>
    <row r="167" spans="1:40" ht="25.05" customHeight="1" x14ac:dyDescent="0.3">
      <c r="A167" s="4">
        <v>14989</v>
      </c>
      <c r="B167" s="4" t="s">
        <v>174</v>
      </c>
      <c r="C167" s="8">
        <v>0</v>
      </c>
      <c r="D167" s="9" t="s">
        <v>52</v>
      </c>
      <c r="E167" s="10">
        <v>1.848992</v>
      </c>
      <c r="F167" s="13">
        <f t="shared" si="0"/>
        <v>0</v>
      </c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1">
        <f t="shared" si="1"/>
        <v>0</v>
      </c>
      <c r="AM167" s="22">
        <f t="shared" si="2"/>
        <v>0</v>
      </c>
      <c r="AN167" s="23">
        <f t="shared" si="3"/>
        <v>0</v>
      </c>
    </row>
    <row r="168" spans="1:40" ht="25.05" customHeight="1" x14ac:dyDescent="0.3">
      <c r="A168" s="4">
        <v>15595</v>
      </c>
      <c r="B168" s="4" t="s">
        <v>175</v>
      </c>
      <c r="C168" s="8">
        <v>0</v>
      </c>
      <c r="D168" s="9" t="s">
        <v>52</v>
      </c>
      <c r="E168" s="10">
        <v>2.0539999999999998</v>
      </c>
      <c r="F168" s="13">
        <f t="shared" si="0"/>
        <v>0</v>
      </c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1">
        <f t="shared" si="1"/>
        <v>0</v>
      </c>
      <c r="AM168" s="22">
        <f t="shared" si="2"/>
        <v>0</v>
      </c>
      <c r="AN168" s="23">
        <f t="shared" si="3"/>
        <v>0</v>
      </c>
    </row>
    <row r="169" spans="1:40" ht="25.05" customHeight="1" x14ac:dyDescent="0.3">
      <c r="A169" s="4">
        <v>14988</v>
      </c>
      <c r="B169" s="4" t="s">
        <v>176</v>
      </c>
      <c r="C169" s="8">
        <v>0</v>
      </c>
      <c r="D169" s="9" t="s">
        <v>52</v>
      </c>
      <c r="E169" s="10">
        <v>1.849512</v>
      </c>
      <c r="F169" s="13">
        <f t="shared" si="0"/>
        <v>0</v>
      </c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1">
        <f t="shared" si="1"/>
        <v>0</v>
      </c>
      <c r="AM169" s="22">
        <f t="shared" si="2"/>
        <v>0</v>
      </c>
      <c r="AN169" s="23">
        <f t="shared" si="3"/>
        <v>0</v>
      </c>
    </row>
    <row r="170" spans="1:40" ht="25.05" customHeight="1" x14ac:dyDescent="0.3">
      <c r="A170" s="4">
        <v>4816</v>
      </c>
      <c r="B170" s="4" t="s">
        <v>177</v>
      </c>
      <c r="C170" s="8">
        <v>0</v>
      </c>
      <c r="D170" s="9" t="s">
        <v>45</v>
      </c>
      <c r="E170" s="10">
        <v>1.2104999999999999</v>
      </c>
      <c r="F170" s="13">
        <f t="shared" si="0"/>
        <v>0</v>
      </c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1">
        <f t="shared" si="1"/>
        <v>0</v>
      </c>
      <c r="AM170" s="22">
        <f t="shared" si="2"/>
        <v>0</v>
      </c>
      <c r="AN170" s="23">
        <f t="shared" si="3"/>
        <v>0</v>
      </c>
    </row>
    <row r="171" spans="1:40" ht="25.05" customHeight="1" x14ac:dyDescent="0.3">
      <c r="A171" s="4">
        <v>4840</v>
      </c>
      <c r="B171" s="4" t="s">
        <v>178</v>
      </c>
      <c r="C171" s="8">
        <v>0</v>
      </c>
      <c r="D171" s="9" t="s">
        <v>45</v>
      </c>
      <c r="E171" s="10">
        <v>1.1180000000000001</v>
      </c>
      <c r="F171" s="13">
        <f t="shared" si="0"/>
        <v>0</v>
      </c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1">
        <f t="shared" si="1"/>
        <v>0</v>
      </c>
      <c r="AM171" s="22">
        <f t="shared" si="2"/>
        <v>0</v>
      </c>
      <c r="AN171" s="23">
        <f t="shared" si="3"/>
        <v>0</v>
      </c>
    </row>
    <row r="172" spans="1:40" ht="25.05" customHeight="1" x14ac:dyDescent="0.3">
      <c r="A172" s="4">
        <v>9407</v>
      </c>
      <c r="B172" s="4" t="s">
        <v>179</v>
      </c>
      <c r="C172" s="8">
        <v>0</v>
      </c>
      <c r="D172" s="9" t="s">
        <v>52</v>
      </c>
      <c r="E172" s="10">
        <v>10.450029000000001</v>
      </c>
      <c r="F172" s="13">
        <f t="shared" si="0"/>
        <v>0</v>
      </c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1">
        <f t="shared" si="1"/>
        <v>0</v>
      </c>
      <c r="AM172" s="22">
        <f t="shared" si="2"/>
        <v>0</v>
      </c>
      <c r="AN172" s="23">
        <f t="shared" si="3"/>
        <v>0</v>
      </c>
    </row>
    <row r="173" spans="1:40" ht="25.05" customHeight="1" x14ac:dyDescent="0.3">
      <c r="A173" s="4">
        <v>10537</v>
      </c>
      <c r="B173" s="4" t="s">
        <v>180</v>
      </c>
      <c r="C173" s="8">
        <v>0</v>
      </c>
      <c r="D173" s="9" t="s">
        <v>52</v>
      </c>
      <c r="E173" s="10">
        <v>27.668852999999999</v>
      </c>
      <c r="F173" s="13">
        <f t="shared" si="0"/>
        <v>0</v>
      </c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1">
        <f t="shared" si="1"/>
        <v>0</v>
      </c>
      <c r="AM173" s="22">
        <f t="shared" si="2"/>
        <v>0</v>
      </c>
      <c r="AN173" s="23">
        <f t="shared" si="3"/>
        <v>0</v>
      </c>
    </row>
    <row r="174" spans="1:40" ht="25.05" customHeight="1" x14ac:dyDescent="0.3">
      <c r="A174" s="4">
        <v>6689</v>
      </c>
      <c r="B174" s="4" t="s">
        <v>181</v>
      </c>
      <c r="C174" s="8">
        <v>0</v>
      </c>
      <c r="D174" s="9" t="s">
        <v>52</v>
      </c>
      <c r="E174" s="10">
        <v>8.43</v>
      </c>
      <c r="F174" s="13">
        <f t="shared" si="0"/>
        <v>0</v>
      </c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1">
        <f t="shared" si="1"/>
        <v>0</v>
      </c>
      <c r="AM174" s="22">
        <f t="shared" si="2"/>
        <v>0</v>
      </c>
      <c r="AN174" s="23">
        <f t="shared" si="3"/>
        <v>0</v>
      </c>
    </row>
    <row r="175" spans="1:40" ht="25.05" customHeight="1" x14ac:dyDescent="0.3">
      <c r="A175" s="4">
        <v>7508</v>
      </c>
      <c r="B175" s="4" t="s">
        <v>182</v>
      </c>
      <c r="C175" s="8">
        <v>0</v>
      </c>
      <c r="D175" s="9" t="s">
        <v>52</v>
      </c>
      <c r="E175" s="10">
        <v>31.947130999999999</v>
      </c>
      <c r="F175" s="13">
        <f t="shared" si="0"/>
        <v>0</v>
      </c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1">
        <f t="shared" si="1"/>
        <v>0</v>
      </c>
      <c r="AM175" s="22">
        <f t="shared" si="2"/>
        <v>0</v>
      </c>
      <c r="AN175" s="23">
        <f t="shared" si="3"/>
        <v>0</v>
      </c>
    </row>
    <row r="176" spans="1:40" ht="25.05" customHeight="1" x14ac:dyDescent="0.3">
      <c r="A176" s="4">
        <v>35</v>
      </c>
      <c r="B176" s="4" t="s">
        <v>183</v>
      </c>
      <c r="C176" s="8">
        <v>0</v>
      </c>
      <c r="D176" s="9" t="s">
        <v>52</v>
      </c>
      <c r="E176" s="10">
        <v>11.119999</v>
      </c>
      <c r="F176" s="13">
        <f t="shared" si="0"/>
        <v>0</v>
      </c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1">
        <f t="shared" si="1"/>
        <v>0</v>
      </c>
      <c r="AM176" s="22">
        <f t="shared" si="2"/>
        <v>0</v>
      </c>
      <c r="AN176" s="23">
        <f t="shared" si="3"/>
        <v>0</v>
      </c>
    </row>
    <row r="177" spans="1:40" ht="25.05" customHeight="1" x14ac:dyDescent="0.3">
      <c r="A177" s="4">
        <v>933</v>
      </c>
      <c r="B177" s="4" t="s">
        <v>184</v>
      </c>
      <c r="C177" s="8">
        <v>0</v>
      </c>
      <c r="D177" s="9" t="s">
        <v>52</v>
      </c>
      <c r="E177" s="10">
        <v>29.519555</v>
      </c>
      <c r="F177" s="13">
        <f t="shared" si="0"/>
        <v>0</v>
      </c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1">
        <f t="shared" si="1"/>
        <v>0</v>
      </c>
      <c r="AM177" s="22">
        <f t="shared" si="2"/>
        <v>0</v>
      </c>
      <c r="AN177" s="23">
        <f t="shared" si="3"/>
        <v>0</v>
      </c>
    </row>
    <row r="178" spans="1:40" ht="25.05" customHeight="1" x14ac:dyDescent="0.3">
      <c r="A178" s="4">
        <v>81</v>
      </c>
      <c r="B178" s="4" t="s">
        <v>185</v>
      </c>
      <c r="C178" s="8">
        <v>0</v>
      </c>
      <c r="D178" s="9" t="s">
        <v>52</v>
      </c>
      <c r="E178" s="10">
        <v>21.898976000000001</v>
      </c>
      <c r="F178" s="13">
        <f t="shared" si="0"/>
        <v>0</v>
      </c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1">
        <f t="shared" si="1"/>
        <v>0</v>
      </c>
      <c r="AM178" s="22">
        <f t="shared" si="2"/>
        <v>0</v>
      </c>
      <c r="AN178" s="23">
        <f t="shared" si="3"/>
        <v>0</v>
      </c>
    </row>
    <row r="179" spans="1:40" ht="25.05" customHeight="1" x14ac:dyDescent="0.3">
      <c r="A179" s="4">
        <v>13459</v>
      </c>
      <c r="B179" s="4" t="s">
        <v>186</v>
      </c>
      <c r="C179" s="8">
        <v>0</v>
      </c>
      <c r="D179" s="9" t="s">
        <v>52</v>
      </c>
      <c r="E179" s="10">
        <v>23.5</v>
      </c>
      <c r="F179" s="13">
        <f t="shared" si="0"/>
        <v>0</v>
      </c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1">
        <f t="shared" si="1"/>
        <v>0</v>
      </c>
      <c r="AM179" s="22">
        <f t="shared" si="2"/>
        <v>0</v>
      </c>
      <c r="AN179" s="23">
        <f t="shared" si="3"/>
        <v>0</v>
      </c>
    </row>
    <row r="180" spans="1:40" ht="25.05" customHeight="1" x14ac:dyDescent="0.3">
      <c r="A180" s="4">
        <v>4107</v>
      </c>
      <c r="B180" s="4" t="s">
        <v>187</v>
      </c>
      <c r="C180" s="8">
        <v>0</v>
      </c>
      <c r="D180" s="9" t="s">
        <v>52</v>
      </c>
      <c r="E180" s="10">
        <v>10.821175999999999</v>
      </c>
      <c r="F180" s="13">
        <f t="shared" si="0"/>
        <v>0</v>
      </c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1">
        <f t="shared" si="1"/>
        <v>0</v>
      </c>
      <c r="AM180" s="22">
        <f t="shared" si="2"/>
        <v>0</v>
      </c>
      <c r="AN180" s="23">
        <f t="shared" si="3"/>
        <v>0</v>
      </c>
    </row>
    <row r="181" spans="1:40" ht="25.05" customHeight="1" x14ac:dyDescent="0.3">
      <c r="A181" s="4">
        <v>1076</v>
      </c>
      <c r="B181" s="4" t="s">
        <v>188</v>
      </c>
      <c r="C181" s="8">
        <v>0</v>
      </c>
      <c r="D181" s="9" t="s">
        <v>52</v>
      </c>
      <c r="E181" s="10">
        <v>16.499988999999999</v>
      </c>
      <c r="F181" s="13">
        <f t="shared" si="0"/>
        <v>0</v>
      </c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1">
        <f t="shared" si="1"/>
        <v>0</v>
      </c>
      <c r="AM181" s="22">
        <f t="shared" si="2"/>
        <v>0</v>
      </c>
      <c r="AN181" s="23">
        <f t="shared" si="3"/>
        <v>0</v>
      </c>
    </row>
    <row r="182" spans="1:40" ht="25.05" customHeight="1" x14ac:dyDescent="0.3">
      <c r="A182" s="4">
        <v>11271</v>
      </c>
      <c r="B182" s="4" t="s">
        <v>189</v>
      </c>
      <c r="C182" s="8">
        <v>0</v>
      </c>
      <c r="D182" s="9" t="s">
        <v>52</v>
      </c>
      <c r="E182" s="10">
        <v>13.92</v>
      </c>
      <c r="F182" s="13">
        <f t="shared" si="0"/>
        <v>0</v>
      </c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1">
        <f t="shared" si="1"/>
        <v>0</v>
      </c>
      <c r="AM182" s="22">
        <f t="shared" si="2"/>
        <v>0</v>
      </c>
      <c r="AN182" s="23">
        <f t="shared" si="3"/>
        <v>0</v>
      </c>
    </row>
    <row r="183" spans="1:40" ht="25.05" customHeight="1" x14ac:dyDescent="0.3">
      <c r="A183" s="4">
        <v>39</v>
      </c>
      <c r="B183" s="4" t="s">
        <v>190</v>
      </c>
      <c r="C183" s="8">
        <v>0</v>
      </c>
      <c r="D183" s="9" t="s">
        <v>52</v>
      </c>
      <c r="E183" s="10">
        <v>12.82</v>
      </c>
      <c r="F183" s="13">
        <f t="shared" si="0"/>
        <v>0</v>
      </c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1">
        <f t="shared" si="1"/>
        <v>0</v>
      </c>
      <c r="AM183" s="22">
        <f t="shared" si="2"/>
        <v>0</v>
      </c>
      <c r="AN183" s="23">
        <f t="shared" si="3"/>
        <v>0</v>
      </c>
    </row>
    <row r="184" spans="1:40" ht="25.05" customHeight="1" x14ac:dyDescent="0.3">
      <c r="A184" s="4">
        <v>1565</v>
      </c>
      <c r="B184" s="4" t="s">
        <v>191</v>
      </c>
      <c r="C184" s="8">
        <v>0</v>
      </c>
      <c r="D184" s="9" t="s">
        <v>52</v>
      </c>
      <c r="E184" s="10">
        <v>18.819578</v>
      </c>
      <c r="F184" s="13">
        <f t="shared" si="0"/>
        <v>0</v>
      </c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1">
        <f t="shared" si="1"/>
        <v>0</v>
      </c>
      <c r="AM184" s="22">
        <f t="shared" si="2"/>
        <v>0</v>
      </c>
      <c r="AN184" s="23">
        <f t="shared" si="3"/>
        <v>0</v>
      </c>
    </row>
    <row r="185" spans="1:40" ht="25.05" customHeight="1" x14ac:dyDescent="0.3">
      <c r="A185" s="4">
        <v>15</v>
      </c>
      <c r="B185" s="4" t="s">
        <v>192</v>
      </c>
      <c r="C185" s="8">
        <v>0</v>
      </c>
      <c r="D185" s="9" t="s">
        <v>52</v>
      </c>
      <c r="E185" s="10">
        <v>10.499969</v>
      </c>
      <c r="F185" s="13">
        <f t="shared" si="0"/>
        <v>0</v>
      </c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1">
        <f t="shared" si="1"/>
        <v>0</v>
      </c>
      <c r="AM185" s="22">
        <f t="shared" si="2"/>
        <v>0</v>
      </c>
      <c r="AN185" s="23">
        <f t="shared" si="3"/>
        <v>0</v>
      </c>
    </row>
    <row r="186" spans="1:40" ht="25.05" customHeight="1" x14ac:dyDescent="0.3">
      <c r="A186" s="4">
        <v>23137</v>
      </c>
      <c r="B186" s="4" t="s">
        <v>193</v>
      </c>
      <c r="C186" s="8">
        <v>0</v>
      </c>
      <c r="D186" s="9" t="s">
        <v>45</v>
      </c>
      <c r="E186" s="10">
        <v>4.9980000000000002</v>
      </c>
      <c r="F186" s="13">
        <f t="shared" si="0"/>
        <v>0</v>
      </c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1">
        <f t="shared" si="1"/>
        <v>0</v>
      </c>
      <c r="AM186" s="22">
        <f t="shared" si="2"/>
        <v>0</v>
      </c>
      <c r="AN186" s="23">
        <f t="shared" si="3"/>
        <v>0</v>
      </c>
    </row>
    <row r="187" spans="1:40" ht="25.05" customHeight="1" x14ac:dyDescent="0.3">
      <c r="A187" s="4">
        <v>23136</v>
      </c>
      <c r="B187" s="4" t="s">
        <v>194</v>
      </c>
      <c r="C187" s="8">
        <v>0</v>
      </c>
      <c r="D187" s="9" t="s">
        <v>45</v>
      </c>
      <c r="E187" s="10">
        <v>7.4999989999999999</v>
      </c>
      <c r="F187" s="13">
        <f t="shared" si="0"/>
        <v>0</v>
      </c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1">
        <f t="shared" si="1"/>
        <v>0</v>
      </c>
      <c r="AM187" s="22">
        <f t="shared" si="2"/>
        <v>0</v>
      </c>
      <c r="AN187" s="23">
        <f t="shared" si="3"/>
        <v>0</v>
      </c>
    </row>
    <row r="188" spans="1:40" ht="25.05" customHeight="1" x14ac:dyDescent="0.3">
      <c r="A188" s="4">
        <v>23139</v>
      </c>
      <c r="B188" s="4" t="s">
        <v>195</v>
      </c>
      <c r="C188" s="8">
        <v>0</v>
      </c>
      <c r="D188" s="9" t="s">
        <v>45</v>
      </c>
      <c r="E188" s="10">
        <v>5.658989</v>
      </c>
      <c r="F188" s="13">
        <f t="shared" si="0"/>
        <v>0</v>
      </c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1">
        <f t="shared" si="1"/>
        <v>0</v>
      </c>
      <c r="AM188" s="22">
        <f t="shared" si="2"/>
        <v>0</v>
      </c>
      <c r="AN188" s="23">
        <f t="shared" si="3"/>
        <v>0</v>
      </c>
    </row>
    <row r="189" spans="1:40" ht="25.05" customHeight="1" x14ac:dyDescent="0.3">
      <c r="A189" s="4">
        <v>238</v>
      </c>
      <c r="B189" s="4" t="s">
        <v>196</v>
      </c>
      <c r="C189" s="8">
        <v>0</v>
      </c>
      <c r="D189" s="9" t="s">
        <v>52</v>
      </c>
      <c r="E189" s="10">
        <v>1.3110200000000001</v>
      </c>
      <c r="F189" s="13">
        <f t="shared" si="0"/>
        <v>0</v>
      </c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1">
        <f t="shared" si="1"/>
        <v>0</v>
      </c>
      <c r="AM189" s="22">
        <f t="shared" si="2"/>
        <v>0</v>
      </c>
      <c r="AN189" s="23">
        <f t="shared" si="3"/>
        <v>0</v>
      </c>
    </row>
    <row r="190" spans="1:40" ht="25.05" customHeight="1" x14ac:dyDescent="0.3">
      <c r="A190" s="4">
        <v>1582</v>
      </c>
      <c r="B190" s="4" t="s">
        <v>197</v>
      </c>
      <c r="C190" s="8">
        <v>0</v>
      </c>
      <c r="D190" s="9" t="s">
        <v>14</v>
      </c>
      <c r="E190" s="10">
        <v>0.93100000000000005</v>
      </c>
      <c r="F190" s="13">
        <f t="shared" si="0"/>
        <v>0</v>
      </c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1">
        <f t="shared" si="1"/>
        <v>0</v>
      </c>
      <c r="AM190" s="22">
        <f t="shared" si="2"/>
        <v>0</v>
      </c>
      <c r="AN190" s="23">
        <f t="shared" si="3"/>
        <v>0</v>
      </c>
    </row>
    <row r="191" spans="1:40" ht="25.05" customHeight="1" x14ac:dyDescent="0.3">
      <c r="C191" s="8">
        <f>SUM(C7:C190)</f>
        <v>0</v>
      </c>
      <c r="E191" s="11" t="s">
        <v>198</v>
      </c>
      <c r="F191" s="12">
        <f>SUM(F7:F190)</f>
        <v>0</v>
      </c>
      <c r="AL191" s="8">
        <f t="shared" ref="AL191:AN191" si="4">SUM(AL7:AL190)</f>
        <v>0</v>
      </c>
      <c r="AM191" s="8">
        <f t="shared" si="4"/>
        <v>0</v>
      </c>
      <c r="AN191" s="24">
        <f t="shared" si="4"/>
        <v>0</v>
      </c>
    </row>
    <row r="192" spans="1:40" ht="22.05" customHeight="1" x14ac:dyDescent="0.3">
      <c r="E192" s="4"/>
      <c r="F192" s="4"/>
    </row>
    <row r="193" ht="22.05" customHeight="1" x14ac:dyDescent="0.3"/>
    <row r="194" ht="22.05" customHeight="1" x14ac:dyDescent="0.3"/>
    <row r="195" ht="22.05" customHeight="1" x14ac:dyDescent="0.3"/>
    <row r="196" ht="22.05" customHeight="1" x14ac:dyDescent="0.3"/>
    <row r="197" ht="22.05" customHeight="1" x14ac:dyDescent="0.3"/>
    <row r="198" ht="22.05" customHeight="1" x14ac:dyDescent="0.3"/>
    <row r="199" ht="22.05" customHeight="1" x14ac:dyDescent="0.3"/>
    <row r="200" ht="22.05" customHeight="1" x14ac:dyDescent="0.3"/>
    <row r="201" ht="22.05" customHeight="1" x14ac:dyDescent="0.3"/>
    <row r="202" ht="22.05" customHeight="1" x14ac:dyDescent="0.3"/>
    <row r="203" ht="22.05" customHeight="1" x14ac:dyDescent="0.3"/>
    <row r="204" ht="22.05" customHeight="1" x14ac:dyDescent="0.3"/>
    <row r="205" ht="22.05" customHeight="1" x14ac:dyDescent="0.3"/>
    <row r="206" ht="22.05" customHeight="1" x14ac:dyDescent="0.3"/>
    <row r="207" ht="22.05" customHeight="1" x14ac:dyDescent="0.3"/>
    <row r="208" ht="22.05" customHeight="1" x14ac:dyDescent="0.3"/>
    <row r="209" ht="22.05" customHeight="1" x14ac:dyDescent="0.3"/>
    <row r="210" ht="22.05" customHeight="1" x14ac:dyDescent="0.3"/>
    <row r="211" ht="22.05" customHeight="1" x14ac:dyDescent="0.3"/>
    <row r="212" ht="22.05" customHeight="1" x14ac:dyDescent="0.3"/>
    <row r="213" ht="22.05" customHeight="1" x14ac:dyDescent="0.3"/>
    <row r="214" ht="22.05" customHeight="1" x14ac:dyDescent="0.3"/>
    <row r="215" ht="22.05" customHeight="1" x14ac:dyDescent="0.3"/>
    <row r="216" ht="22.05" customHeight="1" x14ac:dyDescent="0.3"/>
    <row r="217" ht="22.05" customHeight="1" x14ac:dyDescent="0.3"/>
    <row r="218" ht="22.05" customHeight="1" x14ac:dyDescent="0.3"/>
    <row r="219" ht="22.05" customHeight="1" x14ac:dyDescent="0.3"/>
    <row r="220" ht="22.05" customHeight="1" x14ac:dyDescent="0.3"/>
    <row r="221" ht="22.05" customHeight="1" x14ac:dyDescent="0.3"/>
    <row r="222" ht="22.05" customHeight="1" x14ac:dyDescent="0.3"/>
    <row r="223" ht="22.05" customHeight="1" x14ac:dyDescent="0.3"/>
    <row r="224" ht="22.05" customHeight="1" x14ac:dyDescent="0.3"/>
    <row r="225" ht="22.05" customHeight="1" x14ac:dyDescent="0.3"/>
    <row r="226" ht="22.05" customHeight="1" x14ac:dyDescent="0.3"/>
    <row r="227" ht="22.05" customHeight="1" x14ac:dyDescent="0.3"/>
    <row r="228" ht="22.05" customHeight="1" x14ac:dyDescent="0.3"/>
    <row r="229" ht="22.05" customHeight="1" x14ac:dyDescent="0.3"/>
    <row r="230" ht="22.05" customHeight="1" x14ac:dyDescent="0.3"/>
    <row r="231" ht="22.05" customHeight="1" x14ac:dyDescent="0.3"/>
    <row r="232" ht="22.05" customHeight="1" x14ac:dyDescent="0.3"/>
    <row r="233" ht="22.05" customHeight="1" x14ac:dyDescent="0.3"/>
    <row r="234" ht="22.05" customHeight="1" x14ac:dyDescent="0.3"/>
    <row r="235" ht="22.05" customHeight="1" x14ac:dyDescent="0.3"/>
    <row r="236" ht="22.05" customHeight="1" x14ac:dyDescent="0.3"/>
    <row r="237" ht="22.05" customHeight="1" x14ac:dyDescent="0.3"/>
    <row r="238" ht="22.05" customHeight="1" x14ac:dyDescent="0.3"/>
    <row r="239" ht="22.05" customHeight="1" x14ac:dyDescent="0.3"/>
    <row r="240" ht="22.05" customHeight="1" x14ac:dyDescent="0.3"/>
    <row r="241" ht="22.05" customHeight="1" x14ac:dyDescent="0.3"/>
    <row r="242" ht="22.05" customHeight="1" x14ac:dyDescent="0.3"/>
    <row r="243" ht="22.05" customHeight="1" x14ac:dyDescent="0.3"/>
    <row r="244" ht="22.05" customHeight="1" x14ac:dyDescent="0.3"/>
    <row r="245" ht="22.05" customHeight="1" x14ac:dyDescent="0.3"/>
    <row r="246" ht="22.05" customHeight="1" x14ac:dyDescent="0.3"/>
    <row r="247" ht="22.05" customHeight="1" x14ac:dyDescent="0.3"/>
    <row r="248" ht="22.05" customHeight="1" x14ac:dyDescent="0.3"/>
    <row r="249" ht="22.05" customHeight="1" x14ac:dyDescent="0.3"/>
    <row r="250" ht="22.05" customHeight="1" x14ac:dyDescent="0.3"/>
    <row r="251" ht="22.05" customHeight="1" x14ac:dyDescent="0.3"/>
    <row r="252" ht="22.05" customHeight="1" x14ac:dyDescent="0.3"/>
    <row r="253" ht="22.05" customHeight="1" x14ac:dyDescent="0.3"/>
    <row r="254" ht="22.05" customHeight="1" x14ac:dyDescent="0.3"/>
    <row r="255" ht="22.05" customHeight="1" x14ac:dyDescent="0.3"/>
    <row r="256" ht="22.05" customHeight="1" x14ac:dyDescent="0.3"/>
    <row r="257" ht="22.05" customHeight="1" x14ac:dyDescent="0.3"/>
    <row r="258" ht="22.05" customHeight="1" x14ac:dyDescent="0.3"/>
    <row r="259" ht="22.05" customHeight="1" x14ac:dyDescent="0.3"/>
    <row r="260" ht="22.05" customHeight="1" x14ac:dyDescent="0.3"/>
    <row r="261" ht="22.05" customHeight="1" x14ac:dyDescent="0.3"/>
    <row r="262" ht="22.05" customHeight="1" x14ac:dyDescent="0.3"/>
    <row r="263" ht="22.05" customHeight="1" x14ac:dyDescent="0.3"/>
    <row r="264" ht="22.05" customHeight="1" x14ac:dyDescent="0.3"/>
    <row r="265" ht="22.05" customHeight="1" x14ac:dyDescent="0.3"/>
    <row r="266" ht="22.05" customHeight="1" x14ac:dyDescent="0.3"/>
    <row r="267" ht="22.05" customHeight="1" x14ac:dyDescent="0.3"/>
    <row r="268" ht="22.05" customHeight="1" x14ac:dyDescent="0.3"/>
    <row r="269" ht="22.05" customHeight="1" x14ac:dyDescent="0.3"/>
    <row r="270" ht="22.05" customHeight="1" x14ac:dyDescent="0.3"/>
    <row r="271" ht="22.05" customHeight="1" x14ac:dyDescent="0.3"/>
    <row r="272" ht="22.05" customHeight="1" x14ac:dyDescent="0.3"/>
    <row r="273" ht="22.05" customHeight="1" x14ac:dyDescent="0.3"/>
    <row r="274" ht="22.05" customHeight="1" x14ac:dyDescent="0.3"/>
    <row r="275" ht="22.05" customHeight="1" x14ac:dyDescent="0.3"/>
    <row r="276" ht="22.05" customHeight="1" x14ac:dyDescent="0.3"/>
    <row r="277" ht="22.05" customHeight="1" x14ac:dyDescent="0.3"/>
    <row r="278" ht="22.05" customHeight="1" x14ac:dyDescent="0.3"/>
    <row r="279" ht="22.05" customHeight="1" x14ac:dyDescent="0.3"/>
    <row r="280" ht="22.05" customHeight="1" x14ac:dyDescent="0.3"/>
    <row r="281" ht="22.05" customHeight="1" x14ac:dyDescent="0.3"/>
    <row r="282" ht="22.05" customHeight="1" x14ac:dyDescent="0.3"/>
    <row r="283" ht="22.05" customHeight="1" x14ac:dyDescent="0.3"/>
    <row r="284" ht="22.05" customHeight="1" x14ac:dyDescent="0.3"/>
    <row r="285" ht="22.05" customHeight="1" x14ac:dyDescent="0.3"/>
    <row r="286" ht="22.05" customHeight="1" x14ac:dyDescent="0.3"/>
    <row r="287" ht="22.05" customHeight="1" x14ac:dyDescent="0.3"/>
    <row r="288" ht="22.05" customHeight="1" x14ac:dyDescent="0.3"/>
    <row r="289" ht="22.05" customHeight="1" x14ac:dyDescent="0.3"/>
    <row r="290" ht="22.05" customHeight="1" x14ac:dyDescent="0.3"/>
    <row r="291" ht="22.05" customHeight="1" x14ac:dyDescent="0.3"/>
    <row r="292" ht="22.05" customHeight="1" x14ac:dyDescent="0.3"/>
    <row r="293" ht="22.05" customHeight="1" x14ac:dyDescent="0.3"/>
    <row r="294" ht="22.05" customHeight="1" x14ac:dyDescent="0.3"/>
    <row r="295" ht="22.05" customHeight="1" x14ac:dyDescent="0.3"/>
    <row r="296" ht="22.05" customHeight="1" x14ac:dyDescent="0.3"/>
    <row r="297" ht="22.05" customHeight="1" x14ac:dyDescent="0.3"/>
    <row r="298" ht="22.05" customHeight="1" x14ac:dyDescent="0.3"/>
    <row r="299" ht="22.05" customHeight="1" x14ac:dyDescent="0.3"/>
    <row r="300" ht="22.05" customHeight="1" x14ac:dyDescent="0.3"/>
    <row r="301" ht="22.05" customHeight="1" x14ac:dyDescent="0.3"/>
    <row r="302" ht="22.05" customHeight="1" x14ac:dyDescent="0.3"/>
    <row r="303" ht="22.05" customHeight="1" x14ac:dyDescent="0.3"/>
    <row r="304" ht="22.05" customHeight="1" x14ac:dyDescent="0.3"/>
    <row r="305" ht="22.05" customHeight="1" x14ac:dyDescent="0.3"/>
    <row r="306" ht="22.05" customHeight="1" x14ac:dyDescent="0.3"/>
    <row r="307" ht="22.05" customHeight="1" x14ac:dyDescent="0.3"/>
    <row r="308" ht="22.05" customHeight="1" x14ac:dyDescent="0.3"/>
    <row r="309" ht="22.05" customHeight="1" x14ac:dyDescent="0.3"/>
    <row r="310" ht="22.05" customHeight="1" x14ac:dyDescent="0.3"/>
    <row r="311" ht="22.05" customHeight="1" x14ac:dyDescent="0.3"/>
    <row r="312" ht="22.05" customHeight="1" x14ac:dyDescent="0.3"/>
    <row r="313" ht="22.05" customHeight="1" x14ac:dyDescent="0.3"/>
    <row r="314" ht="22.05" customHeight="1" x14ac:dyDescent="0.3"/>
    <row r="315" ht="22.05" customHeight="1" x14ac:dyDescent="0.3"/>
    <row r="316" ht="22.05" customHeight="1" x14ac:dyDescent="0.3"/>
    <row r="317" ht="22.05" customHeight="1" x14ac:dyDescent="0.3"/>
    <row r="318" ht="22.05" customHeight="1" x14ac:dyDescent="0.3"/>
    <row r="319" ht="22.05" customHeight="1" x14ac:dyDescent="0.3"/>
    <row r="320" ht="22.05" customHeight="1" x14ac:dyDescent="0.3"/>
    <row r="321" ht="22.05" customHeight="1" x14ac:dyDescent="0.3"/>
    <row r="322" ht="22.05" customHeight="1" x14ac:dyDescent="0.3"/>
    <row r="323" ht="22.05" customHeight="1" x14ac:dyDescent="0.3"/>
    <row r="324" ht="22.05" customHeight="1" x14ac:dyDescent="0.3"/>
    <row r="325" ht="22.05" customHeight="1" x14ac:dyDescent="0.3"/>
    <row r="326" ht="22.05" customHeight="1" x14ac:dyDescent="0.3"/>
    <row r="327" ht="22.05" customHeight="1" x14ac:dyDescent="0.3"/>
    <row r="328" ht="22.05" customHeight="1" x14ac:dyDescent="0.3"/>
    <row r="329" ht="22.05" customHeight="1" x14ac:dyDescent="0.3"/>
    <row r="330" ht="22.05" customHeight="1" x14ac:dyDescent="0.3"/>
    <row r="331" ht="22.05" customHeight="1" x14ac:dyDescent="0.3"/>
    <row r="332" ht="22.05" customHeight="1" x14ac:dyDescent="0.3"/>
    <row r="333" ht="22.05" customHeight="1" x14ac:dyDescent="0.3"/>
    <row r="334" ht="22.05" customHeight="1" x14ac:dyDescent="0.3"/>
    <row r="335" ht="22.05" customHeight="1" x14ac:dyDescent="0.3"/>
    <row r="336" ht="22.05" customHeight="1" x14ac:dyDescent="0.3"/>
    <row r="337" ht="22.05" customHeight="1" x14ac:dyDescent="0.3"/>
    <row r="338" ht="22.05" customHeight="1" x14ac:dyDescent="0.3"/>
    <row r="339" ht="22.05" customHeight="1" x14ac:dyDescent="0.3"/>
    <row r="340" ht="22.05" customHeight="1" x14ac:dyDescent="0.3"/>
    <row r="341" ht="22.05" customHeight="1" x14ac:dyDescent="0.3"/>
    <row r="342" ht="22.05" customHeight="1" x14ac:dyDescent="0.3"/>
    <row r="343" ht="22.05" customHeight="1" x14ac:dyDescent="0.3"/>
    <row r="344" ht="22.05" customHeight="1" x14ac:dyDescent="0.3"/>
    <row r="345" ht="22.05" customHeight="1" x14ac:dyDescent="0.3"/>
    <row r="346" ht="22.05" customHeight="1" x14ac:dyDescent="0.3"/>
    <row r="347" ht="22.05" customHeight="1" x14ac:dyDescent="0.3"/>
    <row r="348" ht="22.05" customHeight="1" x14ac:dyDescent="0.3"/>
    <row r="349" ht="22.05" customHeight="1" x14ac:dyDescent="0.3"/>
    <row r="350" ht="22.05" customHeight="1" x14ac:dyDescent="0.3"/>
    <row r="351" ht="22.05" customHeight="1" x14ac:dyDescent="0.3"/>
    <row r="352" ht="22.05" customHeight="1" x14ac:dyDescent="0.3"/>
    <row r="353" ht="22.05" customHeight="1" x14ac:dyDescent="0.3"/>
    <row r="354" ht="22.05" customHeight="1" x14ac:dyDescent="0.3"/>
    <row r="355" ht="22.05" customHeight="1" x14ac:dyDescent="0.3"/>
    <row r="356" ht="22.05" customHeight="1" x14ac:dyDescent="0.3"/>
    <row r="357" ht="22.05" customHeight="1" x14ac:dyDescent="0.3"/>
    <row r="358" ht="22.05" customHeight="1" x14ac:dyDescent="0.3"/>
    <row r="359" ht="22.05" customHeight="1" x14ac:dyDescent="0.3"/>
    <row r="360" ht="22.05" customHeight="1" x14ac:dyDescent="0.3"/>
    <row r="361" ht="22.05" customHeight="1" x14ac:dyDescent="0.3"/>
    <row r="362" ht="22.05" customHeight="1" x14ac:dyDescent="0.3"/>
    <row r="363" ht="22.05" customHeight="1" x14ac:dyDescent="0.3"/>
    <row r="364" ht="22.05" customHeight="1" x14ac:dyDescent="0.3"/>
    <row r="365" ht="22.05" customHeight="1" x14ac:dyDescent="0.3"/>
    <row r="366" ht="22.05" customHeight="1" x14ac:dyDescent="0.3"/>
    <row r="367" ht="22.05" customHeight="1" x14ac:dyDescent="0.3"/>
    <row r="368" ht="22.05" customHeight="1" x14ac:dyDescent="0.3"/>
    <row r="369" ht="22.05" customHeight="1" x14ac:dyDescent="0.3"/>
    <row r="370" ht="22.05" customHeight="1" x14ac:dyDescent="0.3"/>
    <row r="371" ht="22.05" customHeight="1" x14ac:dyDescent="0.3"/>
    <row r="372" ht="22.05" customHeight="1" x14ac:dyDescent="0.3"/>
    <row r="373" ht="22.05" customHeight="1" x14ac:dyDescent="0.3"/>
    <row r="374" ht="22.05" customHeight="1" x14ac:dyDescent="0.3"/>
    <row r="375" ht="22.05" customHeight="1" x14ac:dyDescent="0.3"/>
    <row r="376" ht="22.05" customHeight="1" x14ac:dyDescent="0.3"/>
    <row r="377" ht="22.05" customHeight="1" x14ac:dyDescent="0.3"/>
    <row r="378" ht="22.05" customHeight="1" x14ac:dyDescent="0.3"/>
    <row r="379" ht="22.05" customHeight="1" x14ac:dyDescent="0.3"/>
    <row r="380" ht="22.05" customHeight="1" x14ac:dyDescent="0.3"/>
    <row r="381" ht="22.05" customHeight="1" x14ac:dyDescent="0.3"/>
    <row r="382" ht="22.05" customHeight="1" x14ac:dyDescent="0.3"/>
    <row r="383" ht="22.05" customHeight="1" x14ac:dyDescent="0.3"/>
    <row r="384" ht="22.05" customHeight="1" x14ac:dyDescent="0.3"/>
    <row r="385" ht="22.05" customHeight="1" x14ac:dyDescent="0.3"/>
    <row r="386" ht="22.05" customHeight="1" x14ac:dyDescent="0.3"/>
    <row r="387" ht="22.05" customHeight="1" x14ac:dyDescent="0.3"/>
    <row r="388" ht="22.05" customHeight="1" x14ac:dyDescent="0.3"/>
    <row r="389" ht="22.05" customHeight="1" x14ac:dyDescent="0.3"/>
    <row r="390" ht="22.05" customHeight="1" x14ac:dyDescent="0.3"/>
    <row r="391" ht="22.05" customHeight="1" x14ac:dyDescent="0.3"/>
    <row r="392" ht="22.05" customHeight="1" x14ac:dyDescent="0.3"/>
    <row r="393" ht="22.05" customHeight="1" x14ac:dyDescent="0.3"/>
    <row r="394" ht="22.05" customHeight="1" x14ac:dyDescent="0.3"/>
    <row r="395" ht="22.05" customHeight="1" x14ac:dyDescent="0.3"/>
    <row r="396" ht="22.05" customHeight="1" x14ac:dyDescent="0.3"/>
    <row r="397" ht="22.05" customHeight="1" x14ac:dyDescent="0.3"/>
    <row r="398" ht="22.05" customHeight="1" x14ac:dyDescent="0.3"/>
    <row r="399" ht="22.05" customHeight="1" x14ac:dyDescent="0.3"/>
    <row r="400" ht="22.05" customHeight="1" x14ac:dyDescent="0.3"/>
    <row r="401" ht="22.05" customHeight="1" x14ac:dyDescent="0.3"/>
    <row r="402" ht="22.05" customHeight="1" x14ac:dyDescent="0.3"/>
    <row r="403" ht="22.05" customHeight="1" x14ac:dyDescent="0.3"/>
    <row r="404" ht="22.05" customHeight="1" x14ac:dyDescent="0.3"/>
    <row r="405" ht="22.05" customHeight="1" x14ac:dyDescent="0.3"/>
    <row r="406" ht="22.05" customHeight="1" x14ac:dyDescent="0.3"/>
    <row r="407" ht="22.05" customHeight="1" x14ac:dyDescent="0.3"/>
    <row r="408" ht="22.05" customHeight="1" x14ac:dyDescent="0.3"/>
    <row r="409" ht="22.05" customHeight="1" x14ac:dyDescent="0.3"/>
    <row r="410" ht="22.05" customHeight="1" x14ac:dyDescent="0.3"/>
    <row r="411" ht="22.05" customHeight="1" x14ac:dyDescent="0.3"/>
    <row r="412" ht="22.05" customHeight="1" x14ac:dyDescent="0.3"/>
    <row r="413" ht="22.05" customHeight="1" x14ac:dyDescent="0.3"/>
    <row r="414" ht="22.05" customHeight="1" x14ac:dyDescent="0.3"/>
    <row r="415" ht="22.05" customHeight="1" x14ac:dyDescent="0.3"/>
    <row r="416" ht="22.05" customHeight="1" x14ac:dyDescent="0.3"/>
    <row r="417" ht="22.05" customHeight="1" x14ac:dyDescent="0.3"/>
    <row r="418" ht="22.05" customHeight="1" x14ac:dyDescent="0.3"/>
    <row r="419" ht="22.05" customHeight="1" x14ac:dyDescent="0.3"/>
    <row r="420" ht="22.05" customHeight="1" x14ac:dyDescent="0.3"/>
    <row r="421" ht="22.05" customHeight="1" x14ac:dyDescent="0.3"/>
    <row r="422" ht="22.05" customHeight="1" x14ac:dyDescent="0.3"/>
    <row r="423" ht="22.05" customHeight="1" x14ac:dyDescent="0.3"/>
    <row r="424" ht="22.05" customHeight="1" x14ac:dyDescent="0.3"/>
    <row r="425" ht="22.05" customHeight="1" x14ac:dyDescent="0.3"/>
    <row r="426" ht="22.05" customHeight="1" x14ac:dyDescent="0.3"/>
    <row r="427" ht="22.05" customHeight="1" x14ac:dyDescent="0.3"/>
    <row r="428" ht="22.05" customHeight="1" x14ac:dyDescent="0.3"/>
    <row r="429" ht="22.05" customHeight="1" x14ac:dyDescent="0.3"/>
    <row r="430" ht="22.05" customHeight="1" x14ac:dyDescent="0.3"/>
    <row r="431" ht="22.05" customHeight="1" x14ac:dyDescent="0.3"/>
    <row r="432" ht="22.05" customHeight="1" x14ac:dyDescent="0.3"/>
    <row r="433" ht="22.05" customHeight="1" x14ac:dyDescent="0.3"/>
    <row r="434" ht="22.05" customHeight="1" x14ac:dyDescent="0.3"/>
    <row r="435" ht="22.05" customHeight="1" x14ac:dyDescent="0.3"/>
    <row r="436" ht="22.05" customHeight="1" x14ac:dyDescent="0.3"/>
    <row r="437" ht="22.05" customHeight="1" x14ac:dyDescent="0.3"/>
    <row r="438" ht="22.05" customHeight="1" x14ac:dyDescent="0.3"/>
    <row r="439" ht="22.05" customHeight="1" x14ac:dyDescent="0.3"/>
    <row r="440" ht="22.05" customHeight="1" x14ac:dyDescent="0.3"/>
    <row r="441" ht="22.05" customHeight="1" x14ac:dyDescent="0.3"/>
    <row r="442" ht="22.05" customHeight="1" x14ac:dyDescent="0.3"/>
    <row r="443" ht="22.05" customHeight="1" x14ac:dyDescent="0.3"/>
    <row r="444" ht="22.05" customHeight="1" x14ac:dyDescent="0.3"/>
    <row r="445" ht="22.05" customHeight="1" x14ac:dyDescent="0.3"/>
    <row r="446" ht="22.05" customHeight="1" x14ac:dyDescent="0.3"/>
    <row r="447" ht="22.05" customHeight="1" x14ac:dyDescent="0.3"/>
    <row r="448" ht="22.05" customHeight="1" x14ac:dyDescent="0.3"/>
    <row r="449" ht="22.05" customHeight="1" x14ac:dyDescent="0.3"/>
    <row r="450" ht="22.05" customHeight="1" x14ac:dyDescent="0.3"/>
    <row r="451" ht="22.05" customHeight="1" x14ac:dyDescent="0.3"/>
    <row r="452" ht="22.05" customHeight="1" x14ac:dyDescent="0.3"/>
    <row r="453" ht="22.05" customHeight="1" x14ac:dyDescent="0.3"/>
    <row r="454" ht="22.05" customHeight="1" x14ac:dyDescent="0.3"/>
    <row r="455" ht="22.05" customHeight="1" x14ac:dyDescent="0.3"/>
    <row r="456" ht="22.05" customHeight="1" x14ac:dyDescent="0.3"/>
    <row r="457" ht="22.05" customHeight="1" x14ac:dyDescent="0.3"/>
    <row r="458" ht="22.05" customHeight="1" x14ac:dyDescent="0.3"/>
    <row r="459" ht="22.05" customHeight="1" x14ac:dyDescent="0.3"/>
    <row r="460" ht="22.05" customHeight="1" x14ac:dyDescent="0.3"/>
    <row r="461" ht="22.05" customHeight="1" x14ac:dyDescent="0.3"/>
    <row r="462" ht="22.05" customHeight="1" x14ac:dyDescent="0.3"/>
    <row r="463" ht="22.05" customHeight="1" x14ac:dyDescent="0.3"/>
    <row r="464" ht="22.05" customHeight="1" x14ac:dyDescent="0.3"/>
    <row r="465" ht="22.05" customHeight="1" x14ac:dyDescent="0.3"/>
    <row r="466" ht="22.05" customHeight="1" x14ac:dyDescent="0.3"/>
    <row r="467" ht="22.05" customHeight="1" x14ac:dyDescent="0.3"/>
    <row r="468" ht="22.05" customHeight="1" x14ac:dyDescent="0.3"/>
    <row r="469" ht="22.05" customHeight="1" x14ac:dyDescent="0.3"/>
    <row r="470" ht="22.05" customHeight="1" x14ac:dyDescent="0.3"/>
    <row r="471" ht="22.05" customHeight="1" x14ac:dyDescent="0.3"/>
    <row r="472" ht="22.05" customHeight="1" x14ac:dyDescent="0.3"/>
    <row r="473" ht="22.05" customHeight="1" x14ac:dyDescent="0.3"/>
    <row r="474" ht="22.05" customHeight="1" x14ac:dyDescent="0.3"/>
    <row r="475" ht="22.05" customHeight="1" x14ac:dyDescent="0.3"/>
    <row r="476" ht="22.05" customHeight="1" x14ac:dyDescent="0.3"/>
    <row r="477" ht="22.05" customHeight="1" x14ac:dyDescent="0.3"/>
    <row r="478" ht="22.05" customHeight="1" x14ac:dyDescent="0.3"/>
    <row r="479" ht="22.05" customHeight="1" x14ac:dyDescent="0.3"/>
    <row r="480" ht="22.05" customHeight="1" x14ac:dyDescent="0.3"/>
    <row r="481" ht="22.05" customHeight="1" x14ac:dyDescent="0.3"/>
    <row r="482" ht="22.05" customHeight="1" x14ac:dyDescent="0.3"/>
    <row r="483" ht="22.05" customHeight="1" x14ac:dyDescent="0.3"/>
    <row r="484" ht="22.05" customHeight="1" x14ac:dyDescent="0.3"/>
    <row r="485" ht="22.05" customHeight="1" x14ac:dyDescent="0.3"/>
    <row r="486" ht="22.05" customHeight="1" x14ac:dyDescent="0.3"/>
    <row r="487" ht="22.05" customHeight="1" x14ac:dyDescent="0.3"/>
    <row r="488" ht="22.05" customHeight="1" x14ac:dyDescent="0.3"/>
    <row r="489" ht="22.05" customHeight="1" x14ac:dyDescent="0.3"/>
    <row r="490" ht="22.05" customHeight="1" x14ac:dyDescent="0.3"/>
    <row r="491" ht="22.05" customHeight="1" x14ac:dyDescent="0.3"/>
    <row r="492" ht="22.05" customHeight="1" x14ac:dyDescent="0.3"/>
    <row r="493" ht="22.05" customHeight="1" x14ac:dyDescent="0.3"/>
    <row r="494" ht="22.05" customHeight="1" x14ac:dyDescent="0.3"/>
    <row r="495" ht="22.05" customHeight="1" x14ac:dyDescent="0.3"/>
    <row r="496" ht="18" customHeight="1" x14ac:dyDescent="0.3"/>
    <row r="497" ht="18" customHeight="1" x14ac:dyDescent="0.3"/>
    <row r="498" ht="18" customHeight="1" x14ac:dyDescent="0.3"/>
    <row r="499" ht="18" customHeight="1" x14ac:dyDescent="0.3"/>
    <row r="500" ht="18" customHeight="1" x14ac:dyDescent="0.3"/>
    <row r="501" ht="18" customHeight="1" x14ac:dyDescent="0.3"/>
    <row r="502" ht="18" customHeight="1" x14ac:dyDescent="0.3"/>
    <row r="503" ht="18" customHeight="1" x14ac:dyDescent="0.3"/>
    <row r="504" ht="18" customHeight="1" x14ac:dyDescent="0.3"/>
    <row r="505" ht="18" customHeight="1" x14ac:dyDescent="0.3"/>
    <row r="506" ht="18" customHeight="1" x14ac:dyDescent="0.3"/>
    <row r="507" ht="18" customHeight="1" x14ac:dyDescent="0.3"/>
    <row r="508" ht="18" customHeight="1" x14ac:dyDescent="0.3"/>
    <row r="509" ht="18" customHeight="1" x14ac:dyDescent="0.3"/>
    <row r="510" ht="18" customHeight="1" x14ac:dyDescent="0.3"/>
    <row r="511" ht="18" customHeight="1" x14ac:dyDescent="0.3"/>
    <row r="512" ht="18" customHeight="1" x14ac:dyDescent="0.3"/>
    <row r="513" ht="18" customHeight="1" x14ac:dyDescent="0.3"/>
    <row r="514" ht="18" customHeight="1" x14ac:dyDescent="0.3"/>
    <row r="515" ht="18" customHeight="1" x14ac:dyDescent="0.3"/>
    <row r="516" ht="18" customHeight="1" x14ac:dyDescent="0.3"/>
    <row r="517" ht="18" customHeight="1" x14ac:dyDescent="0.3"/>
    <row r="518" ht="18" customHeight="1" x14ac:dyDescent="0.3"/>
    <row r="519" ht="18" customHeight="1" x14ac:dyDescent="0.3"/>
    <row r="520" ht="18" customHeight="1" x14ac:dyDescent="0.3"/>
    <row r="521" ht="18" customHeight="1" x14ac:dyDescent="0.3"/>
    <row r="522" ht="18" customHeight="1" x14ac:dyDescent="0.3"/>
    <row r="523" ht="18" customHeight="1" x14ac:dyDescent="0.3"/>
    <row r="524" ht="18" customHeight="1" x14ac:dyDescent="0.3"/>
    <row r="525" ht="18" customHeight="1" x14ac:dyDescent="0.3"/>
    <row r="526" ht="18" customHeight="1" x14ac:dyDescent="0.3"/>
    <row r="527" ht="18" customHeight="1" x14ac:dyDescent="0.3"/>
    <row r="528" ht="18" customHeight="1" x14ac:dyDescent="0.3"/>
    <row r="529" ht="18" customHeight="1" x14ac:dyDescent="0.3"/>
    <row r="530" ht="18" customHeight="1" x14ac:dyDescent="0.3"/>
    <row r="531" ht="18" customHeight="1" x14ac:dyDescent="0.3"/>
    <row r="532" ht="18" customHeight="1" x14ac:dyDescent="0.3"/>
    <row r="533" ht="18" customHeight="1" x14ac:dyDescent="0.3"/>
    <row r="534" ht="18" customHeight="1" x14ac:dyDescent="0.3"/>
    <row r="535" ht="18" customHeight="1" x14ac:dyDescent="0.3"/>
    <row r="536" ht="18" customHeight="1" x14ac:dyDescent="0.3"/>
    <row r="537" ht="18" customHeight="1" x14ac:dyDescent="0.3"/>
    <row r="538" ht="18" customHeight="1" x14ac:dyDescent="0.3"/>
    <row r="539" ht="18" customHeight="1" x14ac:dyDescent="0.3"/>
    <row r="540" ht="18" customHeight="1" x14ac:dyDescent="0.3"/>
    <row r="541" ht="18" customHeight="1" x14ac:dyDescent="0.3"/>
    <row r="542" ht="18" customHeight="1" x14ac:dyDescent="0.3"/>
    <row r="543" ht="18" customHeight="1" x14ac:dyDescent="0.3"/>
    <row r="544" ht="18" customHeight="1" x14ac:dyDescent="0.3"/>
    <row r="545" ht="18" customHeight="1" x14ac:dyDescent="0.3"/>
    <row r="546" ht="18" customHeight="1" x14ac:dyDescent="0.3"/>
    <row r="547" ht="18" customHeight="1" x14ac:dyDescent="0.3"/>
    <row r="548" ht="18" customHeight="1" x14ac:dyDescent="0.3"/>
    <row r="549" ht="18" customHeight="1" x14ac:dyDescent="0.3"/>
    <row r="550" ht="18" customHeight="1" x14ac:dyDescent="0.3"/>
    <row r="551" ht="18" customHeight="1" x14ac:dyDescent="0.3"/>
    <row r="552" ht="18" customHeight="1" x14ac:dyDescent="0.3"/>
    <row r="553" ht="18" customHeight="1" x14ac:dyDescent="0.3"/>
    <row r="554" ht="18" customHeight="1" x14ac:dyDescent="0.3"/>
    <row r="555" ht="18" customHeight="1" x14ac:dyDescent="0.3"/>
    <row r="556" ht="18" customHeight="1" x14ac:dyDescent="0.3"/>
    <row r="557" ht="18" customHeight="1" x14ac:dyDescent="0.3"/>
    <row r="558" ht="18" customHeight="1" x14ac:dyDescent="0.3"/>
    <row r="559" ht="18" customHeight="1" x14ac:dyDescent="0.3"/>
    <row r="560" ht="18" customHeight="1" x14ac:dyDescent="0.3"/>
    <row r="561" ht="18" customHeight="1" x14ac:dyDescent="0.3"/>
    <row r="562" ht="18" customHeight="1" x14ac:dyDescent="0.3"/>
    <row r="563" ht="18" customHeight="1" x14ac:dyDescent="0.3"/>
    <row r="564" ht="18" customHeight="1" x14ac:dyDescent="0.3"/>
    <row r="565" ht="18" customHeight="1" x14ac:dyDescent="0.3"/>
    <row r="566" ht="18" customHeight="1" x14ac:dyDescent="0.3"/>
    <row r="567" ht="18" customHeight="1" x14ac:dyDescent="0.3"/>
    <row r="568" ht="18" customHeight="1" x14ac:dyDescent="0.3"/>
    <row r="569" ht="18" customHeight="1" x14ac:dyDescent="0.3"/>
    <row r="570" ht="18" customHeight="1" x14ac:dyDescent="0.3"/>
    <row r="571" ht="18" customHeight="1" x14ac:dyDescent="0.3"/>
    <row r="572" ht="18" customHeight="1" x14ac:dyDescent="0.3"/>
    <row r="573" ht="18" customHeight="1" x14ac:dyDescent="0.3"/>
    <row r="574" ht="18" customHeight="1" x14ac:dyDescent="0.3"/>
    <row r="575" ht="18" customHeight="1" x14ac:dyDescent="0.3"/>
    <row r="576" ht="18" customHeight="1" x14ac:dyDescent="0.3"/>
    <row r="577" ht="18" customHeight="1" x14ac:dyDescent="0.3"/>
    <row r="578" ht="18" customHeight="1" x14ac:dyDescent="0.3"/>
    <row r="579" ht="18" customHeight="1" x14ac:dyDescent="0.3"/>
    <row r="580" ht="18" customHeight="1" x14ac:dyDescent="0.3"/>
    <row r="581" ht="18" customHeight="1" x14ac:dyDescent="0.3"/>
    <row r="582" ht="18" customHeight="1" x14ac:dyDescent="0.3"/>
    <row r="583" ht="18" customHeight="1" x14ac:dyDescent="0.3"/>
    <row r="584" ht="18" customHeight="1" x14ac:dyDescent="0.3"/>
    <row r="585" ht="18" customHeight="1" x14ac:dyDescent="0.3"/>
    <row r="586" ht="18" customHeight="1" x14ac:dyDescent="0.3"/>
    <row r="587" ht="18" customHeight="1" x14ac:dyDescent="0.3"/>
    <row r="588" ht="18" customHeight="1" x14ac:dyDescent="0.3"/>
    <row r="589" ht="18" customHeight="1" x14ac:dyDescent="0.3"/>
    <row r="590" ht="18" customHeight="1" x14ac:dyDescent="0.3"/>
    <row r="591" ht="18" customHeight="1" x14ac:dyDescent="0.3"/>
    <row r="592" ht="18" customHeight="1" x14ac:dyDescent="0.3"/>
    <row r="593" ht="18" customHeight="1" x14ac:dyDescent="0.3"/>
    <row r="594" ht="18" customHeight="1" x14ac:dyDescent="0.3"/>
    <row r="595" ht="18" customHeight="1" x14ac:dyDescent="0.3"/>
    <row r="596" ht="18" customHeight="1" x14ac:dyDescent="0.3"/>
    <row r="597" ht="18" customHeight="1" x14ac:dyDescent="0.3"/>
    <row r="598" ht="18" customHeight="1" x14ac:dyDescent="0.3"/>
    <row r="599" ht="18" customHeight="1" x14ac:dyDescent="0.3"/>
    <row r="600" ht="18" customHeight="1" x14ac:dyDescent="0.3"/>
    <row r="601" ht="18" customHeight="1" x14ac:dyDescent="0.3"/>
    <row r="602" ht="18" customHeight="1" x14ac:dyDescent="0.3"/>
    <row r="603" ht="18" customHeight="1" x14ac:dyDescent="0.3"/>
    <row r="604" ht="18" customHeight="1" x14ac:dyDescent="0.3"/>
    <row r="605" ht="18" customHeight="1" x14ac:dyDescent="0.3"/>
    <row r="606" ht="18" customHeight="1" x14ac:dyDescent="0.3"/>
    <row r="607" ht="18" customHeight="1" x14ac:dyDescent="0.3"/>
    <row r="608" ht="18" customHeight="1" x14ac:dyDescent="0.3"/>
    <row r="609" ht="18" customHeight="1" x14ac:dyDescent="0.3"/>
    <row r="610" ht="18" customHeight="1" x14ac:dyDescent="0.3"/>
    <row r="611" ht="18" customHeight="1" x14ac:dyDescent="0.3"/>
    <row r="612" ht="18" customHeight="1" x14ac:dyDescent="0.3"/>
    <row r="613" ht="18" customHeight="1" x14ac:dyDescent="0.3"/>
    <row r="614" ht="18" customHeight="1" x14ac:dyDescent="0.3"/>
    <row r="615" ht="18" customHeight="1" x14ac:dyDescent="0.3"/>
    <row r="616" ht="18" customHeight="1" x14ac:dyDescent="0.3"/>
    <row r="617" ht="18" customHeight="1" x14ac:dyDescent="0.3"/>
    <row r="618" ht="18" customHeight="1" x14ac:dyDescent="0.3"/>
    <row r="619" ht="18" customHeight="1" x14ac:dyDescent="0.3"/>
    <row r="620" ht="18" customHeight="1" x14ac:dyDescent="0.3"/>
    <row r="621" ht="18" customHeight="1" x14ac:dyDescent="0.3"/>
    <row r="622" ht="18" customHeight="1" x14ac:dyDescent="0.3"/>
    <row r="623" ht="18" customHeight="1" x14ac:dyDescent="0.3"/>
    <row r="624" ht="18" customHeight="1" x14ac:dyDescent="0.3"/>
    <row r="625" ht="18" customHeight="1" x14ac:dyDescent="0.3"/>
    <row r="626" ht="18" customHeight="1" x14ac:dyDescent="0.3"/>
    <row r="627" ht="18" customHeight="1" x14ac:dyDescent="0.3"/>
    <row r="628" ht="18" customHeight="1" x14ac:dyDescent="0.3"/>
    <row r="629" ht="18" customHeight="1" x14ac:dyDescent="0.3"/>
    <row r="630" ht="18" customHeight="1" x14ac:dyDescent="0.3"/>
    <row r="631" ht="18" customHeight="1" x14ac:dyDescent="0.3"/>
    <row r="632" ht="18" customHeight="1" x14ac:dyDescent="0.3"/>
    <row r="633" ht="18" customHeight="1" x14ac:dyDescent="0.3"/>
    <row r="634" ht="18" customHeight="1" x14ac:dyDescent="0.3"/>
    <row r="635" ht="18" customHeight="1" x14ac:dyDescent="0.3"/>
    <row r="636" ht="18" customHeight="1" x14ac:dyDescent="0.3"/>
    <row r="637" ht="18" customHeight="1" x14ac:dyDescent="0.3"/>
    <row r="638" ht="18" customHeight="1" x14ac:dyDescent="0.3"/>
    <row r="639" ht="18" customHeight="1" x14ac:dyDescent="0.3"/>
    <row r="640" ht="18" customHeight="1" x14ac:dyDescent="0.3"/>
    <row r="641" ht="18" customHeight="1" x14ac:dyDescent="0.3"/>
    <row r="642" ht="18" customHeight="1" x14ac:dyDescent="0.3"/>
    <row r="643" ht="18" customHeight="1" x14ac:dyDescent="0.3"/>
    <row r="644" ht="18" customHeight="1" x14ac:dyDescent="0.3"/>
    <row r="645" ht="18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autoFilter ref="A6:F6" xr:uid="{00000000-0009-0000-0000-000001000000}"/>
  <mergeCells count="3">
    <mergeCell ref="AL5:AL6"/>
    <mergeCell ref="AM5:AM6"/>
    <mergeCell ref="AN5:AN6"/>
  </mergeCells>
  <conditionalFormatting sqref="C7:C190">
    <cfRule type="expression" dxfId="0" priority="1">
      <formula>C7&gt;#REF!</formula>
    </cfRule>
  </conditionalFormatting>
  <pageMargins left="0.7" right="0.7" top="0.75" bottom="0.75" header="0" footer="0"/>
  <pageSetup paperSize="9" fitToHeight="0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extraccion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Walter Cutiño Ledo</cp:lastModifiedBy>
  <dcterms:modified xsi:type="dcterms:W3CDTF">2026-07-14T09:08:22Z</dcterms:modified>
</cp:coreProperties>
</file>